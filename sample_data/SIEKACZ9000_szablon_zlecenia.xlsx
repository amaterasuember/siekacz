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bbf56a7fe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cja" sheetId="1" r:id="R58a39dd67bd645e1"/>
    <x:sheet xmlns:r="http://schemas.openxmlformats.org/officeDocument/2006/relationships" name="Formatki" sheetId="2" r:id="Ra803bd6dbce7430b"/>
    <x:sheet xmlns:r="http://schemas.openxmlformats.org/officeDocument/2006/relationships" name="Płyty" sheetId="3" r:id="R21b7f90b08b647e9"/>
    <x:sheet xmlns:r="http://schemas.openxmlformats.org/officeDocument/2006/relationships" name="Katalog" sheetId="4" r:id="R533927a3190048de"/>
    <x:sheet xmlns:r="http://schemas.openxmlformats.org/officeDocument/2006/relationships" name="Przykład" sheetId="5" r:id="R854ed73258cd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zł/m²&quot;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4A6B"/>
      <x:name val="Carlito"/>
    </x:font>
    <x:font>
      <x:b/>
      <x:sz val="11"/>
      <x:color rgb="FF0B1728"/>
      <x:name val="Carlito"/>
    </x:font>
    <x:font>
      <x:sz val="11"/>
      <x:color rgb="FF172033"/>
      <x:name val="Carlito"/>
    </x:font>
    <x:font>
      <x:b/>
      <x:sz val="11"/>
      <x:color rgb="FF92400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728"/>
      </x:patternFill>
    </x:fill>
    <x:fill>
      <x:patternFill patternType="solid">
        <x:fgColor rgb="FFEAF5FF"/>
      </x:patternFill>
    </x:fill>
    <x:fill>
      <x:patternFill patternType="solid">
        <x:fgColor rgb="FF38BDF8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  <x:fill>
      <x:patternFill patternType="solid">
        <x:fgColor rgb="FF2457D6"/>
      </x:patternFill>
    </x:fill>
    <x:fill>
      <x:patternFill patternType="solid">
        <x:fgColor rgb="FFDDF4FF"/>
      </x:patternFill>
    </x:fill>
    <x:fill>
      <x:patternFill patternType="solid">
        <x:fgColor rgb="FF52708F"/>
      </x:patternFill>
    </x:fill>
  </x:fills>
  <x:borders count="18">
    <x:border/>
    <x:border>
      <x:left style="thin">
        <x:color rgb="FFB8CADC"/>
      </x:left>
      <x:top style="thin">
        <x:color rgb="FFB8CADC"/>
      </x:top>
    </x:border>
    <x:border>
      <x:right style="thin">
        <x:color rgb="FFB8CADC"/>
      </x:right>
      <x:top style="thin">
        <x:color rgb="FFB8CADC"/>
      </x:top>
    </x:border>
    <x:border>
      <x:left style="thin">
        <x:color rgb="FFB8CADC"/>
      </x:left>
    </x:border>
    <x:border>
      <x:right style="thin">
        <x:color rgb="FFB8CADC"/>
      </x:right>
    </x:border>
    <x:border>
      <x:left style="thin">
        <x:color rgb="FFB8CADC"/>
      </x:left>
      <x:bottom style="thin">
        <x:color rgb="FFB8CADC"/>
      </x:bottom>
    </x:border>
    <x:border>
      <x:right style="thin">
        <x:color rgb="FFB8CADC"/>
      </x:right>
      <x:bottom style="thin">
        <x:color rgb="FFB8CADC"/>
      </x:bottom>
    </x:border>
    <x:border>
      <x:left style="thin">
        <x:color rgb="FFB8CADC"/>
      </x:left>
      <x:top style="thin">
        <x:color rgb="FFB8CADC"/>
      </x:top>
      <x:bottom style="thin">
        <x:color rgb="FFB8CADC"/>
      </x:bottom>
    </x:border>
    <x:border>
      <x:top style="thin">
        <x:color rgb="FFB8CADC"/>
      </x:top>
      <x:bottom style="thin">
        <x:color rgb="FFB8CADC"/>
      </x:bottom>
    </x:border>
    <x:border>
      <x:right style="thin">
        <x:color rgb="FFB8CADC"/>
      </x:right>
      <x:top style="thin">
        <x:color rgb="FFB8CADC"/>
      </x:top>
      <x:bottom style="thin">
        <x:color rgb="FFB8CADC"/>
      </x:bottom>
    </x:border>
    <x:border>
      <x:bottom style="thin">
        <x:color rgb="FFCBE5F6"/>
      </x:bottom>
    </x:border>
    <x:border>
      <x:top style="thin">
        <x:color rgb="FFCBE5F6"/>
      </x:top>
      <x:bottom style="thin">
        <x:color rgb="FFCBE5F6"/>
      </x:bottom>
    </x:border>
    <x:border>
      <x:top style="thin">
        <x:color rgb="FFCBE5F6"/>
      </x:top>
    </x:border>
    <x:border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top style="thin">
        <x:color rgb="FFD9E4EF"/>
      </x:top>
    </x:border>
    <x:border>
      <x:top style="thin">
        <x:color rgb="FFB8CADC"/>
      </x:top>
    </x:border>
    <x:border>
      <x:bottom style="thin">
        <x:color rgb="FFB8CADC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9" xfId="0" applyNumberFormat="1" applyFont="1" applyFill="1" applyBorder="1"/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horizontal="center" wrapText="1"/>
    </x:xf>
    <x:xf numFmtId="0" fontId="1" fillId="7" borderId="8" xfId="0" applyNumberFormat="1" applyFont="1" applyFill="1" applyBorder="1" applyAlignment="1">
      <x:alignment horizontal="center" wrapText="1"/>
    </x:xf>
    <x:xf numFmtId="0" fontId="1" fillId="7" borderId="9" xfId="0" applyNumberFormat="1" applyFont="1" applyFill="1" applyBorder="1" applyAlignment="1">
      <x:alignment horizont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8" borderId="10" xfId="0" applyNumberFormat="1" applyFont="1" applyFill="1" applyBorder="1" applyAlignment="1">
      <x:alignment vertical="center"/>
    </x:xf>
    <x:xf numFmtId="0" fontId="4" fillId="8" borderId="11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200" fontId="4" fillId="0" borderId="13" xfId="0" applyNumberFormat="1" applyFont="1" applyFill="1" applyBorder="1"/>
    <x:xf numFmtId="200" fontId="4" fillId="0" borderId="14" xfId="0" applyNumberFormat="1" applyFont="1" applyFill="1" applyBorder="1"/>
    <x:xf numFmtId="200" fontId="4" fillId="0" borderId="15" xfId="0" applyNumberFormat="1" applyFont="1" applyFill="1" applyBorder="1"/>
    <x:xf numFmtId="0" fontId="4" fillId="5" borderId="1" xfId="0" applyNumberFormat="1" applyFont="1" applyFill="1" applyBorder="1"/>
    <x:xf numFmtId="0" fontId="4" fillId="5" borderId="16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17" xfId="0" applyNumberFormat="1" applyFont="1" applyFill="1" applyBorder="1"/>
    <x:xf numFmtId="0" fontId="4" fillId="5" borderId="6" xfId="0" applyNumberFormat="1" applyFont="1" applyFill="1" applyBorder="1"/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51950c424494d" /><Relationship Type="http://schemas.openxmlformats.org/officeDocument/2006/relationships/theme" Target="/xl/theme/theme1.xml" Id="Re49d77e78ded449d" /><Relationship Type="http://schemas.openxmlformats.org/officeDocument/2006/relationships/sharedStrings" Target="/xl/sharedStrings.xml" Id="Rda96747c5a8d4ef0" /><Relationship Type="http://schemas.openxmlformats.org/officeDocument/2006/relationships/worksheet" Target="/xl/worksheets/sheet1.xml" Id="R58a39dd67bd645e1" /><Relationship Type="http://schemas.openxmlformats.org/officeDocument/2006/relationships/worksheet" Target="/xl/worksheets/sheet2.xml" Id="Ra803bd6dbce7430b" /><Relationship Type="http://schemas.openxmlformats.org/officeDocument/2006/relationships/worksheet" Target="/xl/worksheets/sheet3.xml" Id="R21b7f90b08b647e9" /><Relationship Type="http://schemas.openxmlformats.org/officeDocument/2006/relationships/worksheet" Target="/xl/worksheets/sheet4.xml" Id="R533927a3190048de" /><Relationship Type="http://schemas.openxmlformats.org/officeDocument/2006/relationships/worksheet" Target="/xl/worksheets/sheet5.xml" Id="R854ed73258cd489e" /></Relationships>
</file>

<file path=xl/tables/table1.xml><?xml version="1.0" encoding="utf-8"?>
<x:table xmlns:x="http://schemas.openxmlformats.org/spreadsheetml/2006/main" id="1" name="FormatkiSiekacz" displayName="FormatkiSiekacz" ref="A2:J102" headerRowCount="1" totalsRowCount="0" totalsRowShown="0">
  <x:tableColumns count="10">
    <x:tableColumn id="1" name="Materiał"/>
    <x:tableColumn id="2" name="Grubość [mm]"/>
    <x:tableColumn id="3" name="Wysokość [mm]"/>
    <x:tableColumn id="4" name="Szerokość [mm]"/>
    <x:tableColumn id="5" name="Ilość [szt.]"/>
    <x:tableColumn id="6" name="Obrót"/>
    <x:tableColumn id="7" name="Priorytet [0–100]"/>
    <x:tableColumn id="8" name="Etykieta"/>
    <x:tableColumn id="9" name="Uwagi"/>
    <x:tableColumn id="10" name="Kontrol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ytySiekacz" displayName="PlytySiekacz" ref="A2:I102" headerRowCount="1" totalsRowCount="0" totalsRowShown="0">
  <x:tableColumns count="9">
    <x:tableColumn id="1" name="Materiał"/>
    <x:tableColumn id="2" name="Grubość [mm]"/>
    <x:tableColumn id="3" name="Format płyty [mm]"/>
    <x:tableColumn id="4" name="Ilość płyt"/>
    <x:tableColumn id="5" name="Sztapel"/>
    <x:tableColumn id="6" name="Priorytet"/>
    <x:tableColumn id="7" name="Kierunek cięcia"/>
    <x:tableColumn id="8" name="Obrót płyty"/>
    <x:tableColumn id="9" name="Kontrol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atalogSiekacz" displayName="KatalogSiekacz" ref="A1:D171" headerRowCount="1" totalsRowCount="0" totalsRowShown="0">
  <x:tableColumns count="4">
    <x:tableColumn id="1" name="Materiał"/>
    <x:tableColumn id="2" name="Grubość [mm]"/>
    <x:tableColumn id="3" name="Format płyty [mm]"/>
    <x:tableColumn id="4" name="Cena netto [zł/m²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ab570b2c4f4a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0f6d6672640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a0febcdeb1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4" customHeight="1">
      <x:c r="A1" s="3" t="str">
        <x:v>SIEKACZ 9000 — szybkie zlecenie z Excela</x:v>
      </x:c>
      <x:c r="B1" s="3" t="str">
        <x:v>SIEKACZ 9000 — szybkie zlecenie z Excela</x:v>
      </x:c>
      <x:c r="C1" s="3" t="str">
        <x:v>SIEKACZ 9000 — szybkie zlecenie z Excela</x:v>
      </x:c>
      <x:c r="D1" s="3" t="str">
        <x:v>SIEKACZ 9000 — szybkie zlecenie z Excela</x:v>
      </x:c>
      <x:c r="E1" s="3" t="str">
        <x:v>SIEKACZ 9000 — szybkie zlecenie z Excela</x:v>
      </x:c>
      <x:c r="F1" s="3" t="str">
        <x:v>SIEKACZ 9000 — szybkie zlecenie z Excela</x:v>
      </x:c>
      <x:c r="G1" s="3" t="str">
        <x:v>SIEKACZ 9000 — szybkie zlecenie z Excela</x:v>
      </x:c>
      <x:c r="H1" s="3" t="str">
        <x:v>SIEKACZ 9000 — szybkie zlecenie z Excela</x:v>
      </x:c>
    </x:row>
    <x:row r="3" ht="34" customHeight="1">
      <x:c r="A3" s="7" t="str">
        <x:v>Wypełnij dwa arkusze: najpierw FORMATKI, potem PŁYTY. Niebieskie listy pochodzą z aktualnej bazy Siekacza.</x:v>
      </x:c>
      <x:c r="B3" s="7" t="str">
        <x:v>Wypełnij dwa arkusze: najpierw FORMATKI, potem PŁYTY. Niebieskie listy pochodzą z aktualnej bazy Siekacza.</x:v>
      </x:c>
      <x:c r="C3" s="7" t="str">
        <x:v>Wypełnij dwa arkusze: najpierw FORMATKI, potem PŁYTY. Niebieskie listy pochodzą z aktualnej bazy Siekacza.</x:v>
      </x:c>
      <x:c r="D3" s="7" t="str">
        <x:v>Wypełnij dwa arkusze: najpierw FORMATKI, potem PŁYTY. Niebieskie listy pochodzą z aktualnej bazy Siekacza.</x:v>
      </x:c>
      <x:c r="E3" s="7" t="str">
        <x:v>Wypełnij dwa arkusze: najpierw FORMATKI, potem PŁYTY. Niebieskie listy pochodzą z aktualnej bazy Siekacza.</x:v>
      </x:c>
      <x:c r="F3" s="7" t="str">
        <x:v>Wypełnij dwa arkusze: najpierw FORMATKI, potem PŁYTY. Niebieskie listy pochodzą z aktualnej bazy Siekacza.</x:v>
      </x:c>
      <x:c r="G3" s="7" t="str">
        <x:v>Wypełnij dwa arkusze: najpierw FORMATKI, potem PŁYTY. Niebieskie listy pochodzą z aktualnej bazy Siekacza.</x:v>
      </x:c>
      <x:c r="H3" s="7" t="str">
        <x:v>Wypełnij dwa arkusze: najpierw FORMATKI, potem PŁYTY. Niebieskie listy pochodzą z aktualnej bazy Siekacza.</x:v>
      </x:c>
    </x:row>
    <x:row r="5">
      <x:c r="A5" s="16" t="str">
        <x:v>1</x:v>
      </x:c>
      <x:c r="B5" s="17" t="str">
        <x:v>Formatki: wybierz materiał i grubość, wpisz wymiary oraz liczbę sztuk.</x:v>
      </x:c>
    </x:row>
    <x:row r="6">
      <x:c r="A6" s="18" t="str">
        <x:v>2</x:v>
      </x:c>
      <x:c r="B6" s="19" t="str">
        <x:v>Płyty: wybierz materiał, grubość i jeden gotowy format z listy — bez ręcznego przepisywania dwóch wymiarów.</x:v>
      </x:c>
    </x:row>
    <x:row r="7">
      <x:c r="A7" s="18" t="str">
        <x:v>3</x:v>
      </x:c>
      <x:c r="B7" s="19" t="str">
        <x:v>Sztapel to liczba identycznych płyt ciętych jednocześnie. Nie może być większy niż liczba płyt.</x:v>
      </x:c>
    </x:row>
    <x:row r="8">
      <x:c r="A8" s="18" t="str">
        <x:v>4</x:v>
      </x:c>
      <x:c r="B8" s="19" t="str">
        <x:v>Priorytet 0 oznacza zwykłą pozycję; większa liczba daje jej pierwszeństwo.</x:v>
      </x:c>
    </x:row>
    <x:row r="9">
      <x:c r="A9" s="18" t="str">
        <x:v>5</x:v>
      </x:c>
      <x:c r="B9" s="19" t="str">
        <x:v>Kontrola pokaże, czy materiał, grubość i format istnieją razem w bieżącym katalogu.</x:v>
      </x:c>
    </x:row>
    <x:row r="10">
      <x:c r="A10" s="18" t="str">
        <x:v>6</x:v>
      </x:c>
      <x:c r="B10" s="19" t="str">
        <x:v>Zapisz XLSX, a potem w Siekaczu wybierz Excel → Wczytaj zlecenie z XLSX.</x:v>
      </x:c>
    </x:row>
    <x:row r="11">
      <x:c r="A11" s="20" t="str">
        <x:v>7</x:v>
      </x:c>
      <x:c r="B11" s="21" t="str">
        <x:v>Możesz też skopiować zaznaczone wiersze i wkleić je Ctrl+V bezpośrednio do tabeli Siekacza.</x:v>
      </x:c>
    </x:row>
    <x:row r="13">
      <x:c r="A13" s="25" t="str">
        <x:v>Nie zmieniaj nazw arkuszy Formatki i Płyty. Jeśli zmienisz cennik w Siekaczu, otwórz lub zapisz szablon ponownie — listy zostaną odświeżone automatycznie.</x:v>
      </x:c>
      <x:c r="B13" s="25" t="str">
        <x:v>Nie zmieniaj nazw arkuszy Formatki i Płyty. Jeśli zmienisz cennik w Siekaczu, otwórz lub zapisz szablon ponownie — listy zostaną odświeżone automatycznie.</x:v>
      </x:c>
      <x:c r="C13" s="25" t="str">
        <x:v>Nie zmieniaj nazw arkuszy Formatki i Płyty. Jeśli zmienisz cennik w Siekaczu, otwórz lub zapisz szablon ponownie — listy zostaną odświeżone automatycznie.</x:v>
      </x:c>
      <x:c r="D13" s="25" t="str">
        <x:v>Nie zmieniaj nazw arkuszy Formatki i Płyty. Jeśli zmienisz cennik w Siekaczu, otwórz lub zapisz szablon ponownie — listy zostaną odświeżone automatycznie.</x:v>
      </x:c>
      <x:c r="E13" s="25" t="str">
        <x:v>Nie zmieniaj nazw arkuszy Formatki i Płyty. Jeśli zmienisz cennik w Siekaczu, otwórz lub zapisz szablon ponownie — listy zostaną odświeżone automatycznie.</x:v>
      </x:c>
      <x:c r="F13" s="25" t="str">
        <x:v>Nie zmieniaj nazw arkuszy Formatki i Płyty. Jeśli zmienisz cennik w Siekaczu, otwórz lub zapisz szablon ponownie — listy zostaną odświeżone automatycznie.</x:v>
      </x:c>
      <x:c r="G13" s="25" t="str">
        <x:v>Nie zmieniaj nazw arkuszy Formatki i Płyty. Jeśli zmienisz cennik w Siekaczu, otwórz lub zapisz szablon ponownie — listy zostaną odświeżone automatycznie.</x:v>
      </x:c>
      <x:c r="H13" s="25" t="str">
        <x:v>Nie zmieniaj nazw arkuszy Formatki i Płyty. Jeśli zmienisz cennik w Siekaczu, otwórz lub zapisz szablon ponownie — listy zostaną odświeżone automatycznie.</x:v>
      </x:c>
    </x:row>
    <x:row r="14">
      <x:c r="A14" s="25" t="str">
        <x:v>Nie zmieniaj nazw arkuszy Formatki i Płyty. Jeśli zmienisz cennik w Siekaczu, otwórz lub zapisz szablon ponownie — listy zostaną odświeżone automatycznie.</x:v>
      </x:c>
      <x:c r="B14" s="25" t="str">
        <x:v>Nie zmieniaj nazw arkuszy Formatki i Płyty. Jeśli zmienisz cennik w Siekaczu, otwórz lub zapisz szablon ponownie — listy zostaną odświeżone automatycznie.</x:v>
      </x:c>
      <x:c r="C14" s="25" t="str">
        <x:v>Nie zmieniaj nazw arkuszy Formatki i Płyty. Jeśli zmienisz cennik w Siekaczu, otwórz lub zapisz szablon ponownie — listy zostaną odświeżone automatycznie.</x:v>
      </x:c>
      <x:c r="D14" s="25" t="str">
        <x:v>Nie zmieniaj nazw arkuszy Formatki i Płyty. Jeśli zmienisz cennik w Siekaczu, otwórz lub zapisz szablon ponownie — listy zostaną odświeżone automatycznie.</x:v>
      </x:c>
      <x:c r="E14" s="25" t="str">
        <x:v>Nie zmieniaj nazw arkuszy Formatki i Płyty. Jeśli zmienisz cennik w Siekaczu, otwórz lub zapisz szablon ponownie — listy zostaną odświeżone automatycznie.</x:v>
      </x:c>
      <x:c r="F14" s="25" t="str">
        <x:v>Nie zmieniaj nazw arkuszy Formatki i Płyty. Jeśli zmienisz cennik w Siekaczu, otwórz lub zapisz szablon ponownie — listy zostaną odświeżone automatycznie.</x:v>
      </x:c>
      <x:c r="G14" s="25" t="str">
        <x:v>Nie zmieniaj nazw arkuszy Formatki i Płyty. Jeśli zmienisz cennik w Siekaczu, otwórz lub zapisz szablon ponownie — listy zostaną odświeżone automatycznie.</x:v>
      </x:c>
      <x:c r="H14" s="25" t="str">
        <x:v>Nie zmieniaj nazw arkuszy Formatki i Płyty. Jeśli zmienisz cennik w Siekaczu, otwórz lub zapisz szablon ponownie — listy zostaną odświeżone automatycznie.</x:v>
      </x:c>
    </x:row>
  </x:sheetData>
  <x:mergeCells>
    <x:mergeCell ref="A1:H1"/>
    <x:mergeCell ref="A3:H3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7" hidden="0" customWidth="1"/>
    <x:col min="4" max="4" width="17" hidden="0" customWidth="1"/>
    <x:col min="5" max="5" width="14" hidden="0" customWidth="1"/>
    <x:col min="6" max="6" width="12" hidden="0" customWidth="1"/>
    <x:col min="7" max="7" width="18" hidden="0" customWidth="1"/>
    <x:col min="8" max="8" width="18" hidden="0" customWidth="1"/>
    <x:col min="9" max="9" width="30" hidden="0" customWidth="1"/>
    <x:col min="10" max="10" width="28" hidden="0" customWidth="1"/>
  </x:cols>
  <x:sheetData>
    <x:row r="1" ht="34" customHeight="1">
      <x:c r="A1" s="3" t="str">
        <x:v>FORMATKI DO WYCIĘCIA</x:v>
      </x:c>
      <x:c r="B1" s="3" t="str">
        <x:v>FORMATKI DO WYCIĘCIA</x:v>
      </x:c>
      <x:c r="C1" s="3" t="str">
        <x:v>FORMATKI DO WYCIĘCIA</x:v>
      </x:c>
      <x:c r="D1" s="3" t="str">
        <x:v>FORMATKI DO WYCIĘCIA</x:v>
      </x:c>
      <x:c r="E1" s="3" t="str">
        <x:v>FORMATKI DO WYCIĘCIA</x:v>
      </x:c>
      <x:c r="F1" s="3" t="str">
        <x:v>FORMATKI DO WYCIĘCIA</x:v>
      </x:c>
      <x:c r="G1" s="3" t="str">
        <x:v>FORMATKI DO WYCIĘCIA</x:v>
      </x:c>
      <x:c r="H1" s="3" t="str">
        <x:v>FORMATKI DO WYCIĘCIA</x:v>
      </x:c>
      <x:c r="I1" s="3" t="str">
        <x:v>FORMATKI DO WYCIĘCIA</x:v>
      </x:c>
      <x:c r="J1" s="3" t="str">
        <x:v>FORMATKI DO WYCIĘCIA</x:v>
      </x:c>
    </x:row>
    <x:row r="2" ht="32" customHeight="1">
      <x:c r="A2" s="37" t="str">
        <x:v>Materiał</x:v>
      </x:c>
      <x:c r="B2" s="38" t="str">
        <x:v>Grubość [mm]</x:v>
      </x:c>
      <x:c r="C2" s="38" t="str">
        <x:v>Wysokość [mm]</x:v>
      </x:c>
      <x:c r="D2" s="38" t="str">
        <x:v>Szerokość [mm]</x:v>
      </x:c>
      <x:c r="E2" s="38" t="str">
        <x:v>Ilość [szt.]</x:v>
      </x:c>
      <x:c r="F2" s="38" t="str">
        <x:v>Obrót</x:v>
      </x:c>
      <x:c r="G2" s="38" t="str">
        <x:v>Priorytet [0–100]</x:v>
      </x:c>
      <x:c r="H2" s="38" t="str">
        <x:v>Etykieta</x:v>
      </x:c>
      <x:c r="I2" s="38" t="str">
        <x:v>Uwagi</x:v>
      </x:c>
      <x:c r="J2" s="39" t="str">
        <x:v>Kontrola</x:v>
      </x:c>
    </x:row>
    <x:row r="3" ht="22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6" t="str">
        <x:f>IF(COUNTA(A3:I3)=0,"",IF(COUNTIFS(Katalog!$A$2:$A$171,A3,Katalog!$B$2:$B$171,B3)&gt;0,"OK","BRAK MATERIAŁU / GRUBOŚCI"))</x:f>
      </x:c>
    </x:row>
    <x:row r="4" ht="22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7" t="str">
        <x:f>IF(COUNTA(A4:I4)=0,"",IF(COUNTIFS(Katalog!$A$2:$A$171,A4,Katalog!$B$2:$B$171,B4)&gt;0,"OK","BRAK MATERIAŁU / GRUBOŚCI"))</x:f>
      </x:c>
    </x:row>
    <x:row r="5" ht="22" customHeight="1">
      <x:c r="A5" s="44"/>
      <x:c r="B5" s="44"/>
      <x:c r="C5" s="44"/>
      <x:c r="D5" s="44"/>
      <x:c r="E5" s="44"/>
      <x:c r="F5" s="44"/>
      <x:c r="G5" s="44"/>
      <x:c r="H5" s="44"/>
      <x:c r="I5" s="44"/>
      <x:c r="J5" s="47" t="str">
        <x:f>IF(COUNTA(A5:I5)=0,"",IF(COUNTIFS(Katalog!$A$2:$A$171,A5,Katalog!$B$2:$B$171,B5)&gt;0,"OK","BRAK MATERIAŁU / GRUBOŚCI"))</x:f>
      </x:c>
    </x:row>
    <x:row r="6" ht="22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7" t="str">
        <x:f>IF(COUNTA(A6:I6)=0,"",IF(COUNTIFS(Katalog!$A$2:$A$171,A6,Katalog!$B$2:$B$171,B6)&gt;0,"OK","BRAK MATERIAŁU / GRUBOŚCI"))</x:f>
      </x:c>
    </x:row>
    <x:row r="7" ht="22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7" t="str">
        <x:f>IF(COUNTA(A7:I7)=0,"",IF(COUNTIFS(Katalog!$A$2:$A$171,A7,Katalog!$B$2:$B$171,B7)&gt;0,"OK","BRAK MATERIAŁU / GRUBOŚCI"))</x:f>
      </x:c>
    </x:row>
    <x:row r="8" ht="22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7" t="str">
        <x:f>IF(COUNTA(A8:I8)=0,"",IF(COUNTIFS(Katalog!$A$2:$A$171,A8,Katalog!$B$2:$B$171,B8)&gt;0,"OK","BRAK MATERIAŁU / GRUBOŚCI"))</x:f>
      </x:c>
    </x:row>
    <x:row r="9" ht="22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7" t="str">
        <x:f>IF(COUNTA(A9:I9)=0,"",IF(COUNTIFS(Katalog!$A$2:$A$171,A9,Katalog!$B$2:$B$171,B9)&gt;0,"OK","BRAK MATERIAŁU / GRUBOŚCI"))</x:f>
      </x:c>
    </x:row>
    <x:row r="10" ht="22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7" t="str">
        <x:f>IF(COUNTA(A10:I10)=0,"",IF(COUNTIFS(Katalog!$A$2:$A$171,A10,Katalog!$B$2:$B$171,B10)&gt;0,"OK","BRAK MATERIAŁU / GRUBOŚCI"))</x:f>
      </x:c>
    </x:row>
    <x:row r="11" ht="22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7" t="str">
        <x:f>IF(COUNTA(A11:I11)=0,"",IF(COUNTIFS(Katalog!$A$2:$A$171,A11,Katalog!$B$2:$B$171,B11)&gt;0,"OK","BRAK MATERIAŁU / GRUBOŚCI"))</x:f>
      </x:c>
    </x:row>
    <x:row r="12" ht="22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7" t="str">
        <x:f>IF(COUNTA(A12:I12)=0,"",IF(COUNTIFS(Katalog!$A$2:$A$171,A12,Katalog!$B$2:$B$171,B12)&gt;0,"OK","BRAK MATERIAŁU / GRUBOŚCI"))</x:f>
      </x:c>
    </x:row>
    <x:row r="13" ht="22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7" t="str">
        <x:f>IF(COUNTA(A13:I13)=0,"",IF(COUNTIFS(Katalog!$A$2:$A$171,A13,Katalog!$B$2:$B$171,B13)&gt;0,"OK","BRAK MATERIAŁU / GRUBOŚCI"))</x:f>
      </x:c>
    </x:row>
    <x:row r="14" ht="22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7" t="str">
        <x:f>IF(COUNTA(A14:I14)=0,"",IF(COUNTIFS(Katalog!$A$2:$A$171,A14,Katalog!$B$2:$B$171,B14)&gt;0,"OK","BRAK MATERIAŁU / GRUBOŚCI"))</x:f>
      </x:c>
    </x:row>
    <x:row r="15" ht="22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7" t="str">
        <x:f>IF(COUNTA(A15:I15)=0,"",IF(COUNTIFS(Katalog!$A$2:$A$171,A15,Katalog!$B$2:$B$171,B15)&gt;0,"OK","BRAK MATERIAŁU / GRUBOŚCI"))</x:f>
      </x:c>
    </x:row>
    <x:row r="16" ht="22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7" t="str">
        <x:f>IF(COUNTA(A16:I16)=0,"",IF(COUNTIFS(Katalog!$A$2:$A$171,A16,Katalog!$B$2:$B$171,B16)&gt;0,"OK","BRAK MATERIAŁU / GRUBOŚCI"))</x:f>
      </x:c>
    </x:row>
    <x:row r="17" ht="22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7" t="str">
        <x:f>IF(COUNTA(A17:I17)=0,"",IF(COUNTIFS(Katalog!$A$2:$A$171,A17,Katalog!$B$2:$B$171,B17)&gt;0,"OK","BRAK MATERIAŁU / GRUBOŚCI"))</x:f>
      </x:c>
    </x:row>
    <x:row r="18" ht="22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7" t="str">
        <x:f>IF(COUNTA(A18:I18)=0,"",IF(COUNTIFS(Katalog!$A$2:$A$171,A18,Katalog!$B$2:$B$171,B18)&gt;0,"OK","BRAK MATERIAŁU / GRUBOŚCI"))</x:f>
      </x:c>
    </x:row>
    <x:row r="19" ht="22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7" t="str">
        <x:f>IF(COUNTA(A19:I19)=0,"",IF(COUNTIFS(Katalog!$A$2:$A$171,A19,Katalog!$B$2:$B$171,B19)&gt;0,"OK","BRAK MATERIAŁU / GRUBOŚCI"))</x:f>
      </x:c>
    </x:row>
    <x:row r="20" ht="22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7" t="str">
        <x:f>IF(COUNTA(A20:I20)=0,"",IF(COUNTIFS(Katalog!$A$2:$A$171,A20,Katalog!$B$2:$B$171,B20)&gt;0,"OK","BRAK MATERIAŁU / GRUBOŚCI"))</x:f>
      </x:c>
    </x:row>
    <x:row r="21" ht="22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7" t="str">
        <x:f>IF(COUNTA(A21:I21)=0,"",IF(COUNTIFS(Katalog!$A$2:$A$171,A21,Katalog!$B$2:$B$171,B21)&gt;0,"OK","BRAK MATERIAŁU / GRUBOŚCI"))</x:f>
      </x:c>
    </x:row>
    <x:row r="22" ht="22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7" t="str">
        <x:f>IF(COUNTA(A22:I22)=0,"",IF(COUNTIFS(Katalog!$A$2:$A$171,A22,Katalog!$B$2:$B$171,B22)&gt;0,"OK","BRAK MATERIAŁU / GRUBOŚCI"))</x:f>
      </x:c>
    </x:row>
    <x:row r="23" ht="22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7" t="str">
        <x:f>IF(COUNTA(A23:I23)=0,"",IF(COUNTIFS(Katalog!$A$2:$A$171,A23,Katalog!$B$2:$B$171,B23)&gt;0,"OK","BRAK MATERIAŁU / GRUBOŚCI"))</x:f>
      </x:c>
    </x:row>
    <x:row r="24" ht="22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7" t="str">
        <x:f>IF(COUNTA(A24:I24)=0,"",IF(COUNTIFS(Katalog!$A$2:$A$171,A24,Katalog!$B$2:$B$171,B24)&gt;0,"OK","BRAK MATERIAŁU / GRUBOŚCI"))</x:f>
      </x:c>
    </x:row>
    <x:row r="25" ht="22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7" t="str">
        <x:f>IF(COUNTA(A25:I25)=0,"",IF(COUNTIFS(Katalog!$A$2:$A$171,A25,Katalog!$B$2:$B$171,B25)&gt;0,"OK","BRAK MATERIAŁU / GRUBOŚCI"))</x:f>
      </x:c>
    </x:row>
    <x:row r="26" ht="22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7" t="str">
        <x:f>IF(COUNTA(A26:I26)=0,"",IF(COUNTIFS(Katalog!$A$2:$A$171,A26,Katalog!$B$2:$B$171,B26)&gt;0,"OK","BRAK MATERIAŁU / GRUBOŚCI"))</x:f>
      </x:c>
    </x:row>
    <x:row r="27" ht="22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7" t="str">
        <x:f>IF(COUNTA(A27:I27)=0,"",IF(COUNTIFS(Katalog!$A$2:$A$171,A27,Katalog!$B$2:$B$171,B27)&gt;0,"OK","BRAK MATERIAŁU / GRUBOŚCI"))</x:f>
      </x:c>
    </x:row>
    <x:row r="28" ht="22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7" t="str">
        <x:f>IF(COUNTA(A28:I28)=0,"",IF(COUNTIFS(Katalog!$A$2:$A$171,A28,Katalog!$B$2:$B$171,B28)&gt;0,"OK","BRAK MATERIAŁU / GRUBOŚCI"))</x:f>
      </x:c>
    </x:row>
    <x:row r="29" ht="22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7" t="str">
        <x:f>IF(COUNTA(A29:I29)=0,"",IF(COUNTIFS(Katalog!$A$2:$A$171,A29,Katalog!$B$2:$B$171,B29)&gt;0,"OK","BRAK MATERIAŁU / GRUBOŚCI"))</x:f>
      </x:c>
    </x:row>
    <x:row r="30" ht="22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7" t="str">
        <x:f>IF(COUNTA(A30:I30)=0,"",IF(COUNTIFS(Katalog!$A$2:$A$171,A30,Katalog!$B$2:$B$171,B30)&gt;0,"OK","BRAK MATERIAŁU / GRUBOŚCI"))</x:f>
      </x:c>
    </x:row>
    <x:row r="31" ht="22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7" t="str">
        <x:f>IF(COUNTA(A31:I31)=0,"",IF(COUNTIFS(Katalog!$A$2:$A$171,A31,Katalog!$B$2:$B$171,B31)&gt;0,"OK","BRAK MATERIAŁU / GRUBOŚCI"))</x:f>
      </x:c>
    </x:row>
    <x:row r="32" ht="22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7" t="str">
        <x:f>IF(COUNTA(A32:I32)=0,"",IF(COUNTIFS(Katalog!$A$2:$A$171,A32,Katalog!$B$2:$B$171,B32)&gt;0,"OK","BRAK MATERIAŁU / GRUBOŚCI"))</x:f>
      </x:c>
    </x:row>
    <x:row r="33" ht="22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7" t="str">
        <x:f>IF(COUNTA(A33:I33)=0,"",IF(COUNTIFS(Katalog!$A$2:$A$171,A33,Katalog!$B$2:$B$171,B33)&gt;0,"OK","BRAK MATERIAŁU / GRUBOŚCI"))</x:f>
      </x:c>
    </x:row>
    <x:row r="34" ht="22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7" t="str">
        <x:f>IF(COUNTA(A34:I34)=0,"",IF(COUNTIFS(Katalog!$A$2:$A$171,A34,Katalog!$B$2:$B$171,B34)&gt;0,"OK","BRAK MATERIAŁU / GRUBOŚCI"))</x:f>
      </x:c>
    </x:row>
    <x:row r="35" ht="22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7" t="str">
        <x:f>IF(COUNTA(A35:I35)=0,"",IF(COUNTIFS(Katalog!$A$2:$A$171,A35,Katalog!$B$2:$B$171,B35)&gt;0,"OK","BRAK MATERIAŁU / GRUBOŚCI"))</x:f>
      </x:c>
    </x:row>
    <x:row r="36" ht="22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7" t="str">
        <x:f>IF(COUNTA(A36:I36)=0,"",IF(COUNTIFS(Katalog!$A$2:$A$171,A36,Katalog!$B$2:$B$171,B36)&gt;0,"OK","BRAK MATERIAŁU / GRUBOŚCI"))</x:f>
      </x:c>
    </x:row>
    <x:row r="37" ht="22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7" t="str">
        <x:f>IF(COUNTA(A37:I37)=0,"",IF(COUNTIFS(Katalog!$A$2:$A$171,A37,Katalog!$B$2:$B$171,B37)&gt;0,"OK","BRAK MATERIAŁU / GRUBOŚCI"))</x:f>
      </x:c>
    </x:row>
    <x:row r="38" ht="22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7" t="str">
        <x:f>IF(COUNTA(A38:I38)=0,"",IF(COUNTIFS(Katalog!$A$2:$A$171,A38,Katalog!$B$2:$B$171,B38)&gt;0,"OK","BRAK MATERIAŁU / GRUBOŚCI"))</x:f>
      </x:c>
    </x:row>
    <x:row r="39" ht="22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7" t="str">
        <x:f>IF(COUNTA(A39:I39)=0,"",IF(COUNTIFS(Katalog!$A$2:$A$171,A39,Katalog!$B$2:$B$171,B39)&gt;0,"OK","BRAK MATERIAŁU / GRUBOŚCI"))</x:f>
      </x:c>
    </x:row>
    <x:row r="40" ht="22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7" t="str">
        <x:f>IF(COUNTA(A40:I40)=0,"",IF(COUNTIFS(Katalog!$A$2:$A$171,A40,Katalog!$B$2:$B$171,B40)&gt;0,"OK","BRAK MATERIAŁU / GRUBOŚCI"))</x:f>
      </x:c>
    </x:row>
    <x:row r="41" ht="22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7" t="str">
        <x:f>IF(COUNTA(A41:I41)=0,"",IF(COUNTIFS(Katalog!$A$2:$A$171,A41,Katalog!$B$2:$B$171,B41)&gt;0,"OK","BRAK MATERIAŁU / GRUBOŚCI"))</x:f>
      </x:c>
    </x:row>
    <x:row r="42" ht="22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7" t="str">
        <x:f>IF(COUNTA(A42:I42)=0,"",IF(COUNTIFS(Katalog!$A$2:$A$171,A42,Katalog!$B$2:$B$171,B42)&gt;0,"OK","BRAK MATERIAŁU / GRUBOŚCI"))</x:f>
      </x:c>
    </x:row>
    <x:row r="43" ht="22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7" t="str">
        <x:f>IF(COUNTA(A43:I43)=0,"",IF(COUNTIFS(Katalog!$A$2:$A$171,A43,Katalog!$B$2:$B$171,B43)&gt;0,"OK","BRAK MATERIAŁU / GRUBOŚCI"))</x:f>
      </x:c>
    </x:row>
    <x:row r="44" ht="22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7" t="str">
        <x:f>IF(COUNTA(A44:I44)=0,"",IF(COUNTIFS(Katalog!$A$2:$A$171,A44,Katalog!$B$2:$B$171,B44)&gt;0,"OK","BRAK MATERIAŁU / GRUBOŚCI"))</x:f>
      </x:c>
    </x:row>
    <x:row r="45" ht="22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7" t="str">
        <x:f>IF(COUNTA(A45:I45)=0,"",IF(COUNTIFS(Katalog!$A$2:$A$171,A45,Katalog!$B$2:$B$171,B45)&gt;0,"OK","BRAK MATERIAŁU / GRUBOŚCI"))</x:f>
      </x:c>
    </x:row>
    <x:row r="46" ht="22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7" t="str">
        <x:f>IF(COUNTA(A46:I46)=0,"",IF(COUNTIFS(Katalog!$A$2:$A$171,A46,Katalog!$B$2:$B$171,B46)&gt;0,"OK","BRAK MATERIAŁU / GRUBOŚCI"))</x:f>
      </x:c>
    </x:row>
    <x:row r="47" ht="22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7" t="str">
        <x:f>IF(COUNTA(A47:I47)=0,"",IF(COUNTIFS(Katalog!$A$2:$A$171,A47,Katalog!$B$2:$B$171,B47)&gt;0,"OK","BRAK MATERIAŁU / GRUBOŚCI"))</x:f>
      </x:c>
    </x:row>
    <x:row r="48" ht="22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7" t="str">
        <x:f>IF(COUNTA(A48:I48)=0,"",IF(COUNTIFS(Katalog!$A$2:$A$171,A48,Katalog!$B$2:$B$171,B48)&gt;0,"OK","BRAK MATERIAŁU / GRUBOŚCI"))</x:f>
      </x:c>
    </x:row>
    <x:row r="49" ht="22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7" t="str">
        <x:f>IF(COUNTA(A49:I49)=0,"",IF(COUNTIFS(Katalog!$A$2:$A$171,A49,Katalog!$B$2:$B$171,B49)&gt;0,"OK","BRAK MATERIAŁU / GRUBOŚCI"))</x:f>
      </x:c>
    </x:row>
    <x:row r="50" ht="22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7" t="str">
        <x:f>IF(COUNTA(A50:I50)=0,"",IF(COUNTIFS(Katalog!$A$2:$A$171,A50,Katalog!$B$2:$B$171,B50)&gt;0,"OK","BRAK MATERIAŁU / GRUBOŚCI"))</x:f>
      </x:c>
    </x:row>
    <x:row r="51" ht="22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7" t="str">
        <x:f>IF(COUNTA(A51:I51)=0,"",IF(COUNTIFS(Katalog!$A$2:$A$171,A51,Katalog!$B$2:$B$171,B51)&gt;0,"OK","BRAK MATERIAŁU / GRUBOŚCI"))</x:f>
      </x:c>
    </x:row>
    <x:row r="52" ht="22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7" t="str">
        <x:f>IF(COUNTA(A52:I52)=0,"",IF(COUNTIFS(Katalog!$A$2:$A$171,A52,Katalog!$B$2:$B$171,B52)&gt;0,"OK","BRAK MATERIAŁU / GRUBOŚCI"))</x:f>
      </x:c>
    </x:row>
    <x:row r="53" ht="22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7" t="str">
        <x:f>IF(COUNTA(A53:I53)=0,"",IF(COUNTIFS(Katalog!$A$2:$A$171,A53,Katalog!$B$2:$B$171,B53)&gt;0,"OK","BRAK MATERIAŁU / GRUBOŚCI"))</x:f>
      </x:c>
    </x:row>
    <x:row r="54" ht="22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7" t="str">
        <x:f>IF(COUNTA(A54:I54)=0,"",IF(COUNTIFS(Katalog!$A$2:$A$171,A54,Katalog!$B$2:$B$171,B54)&gt;0,"OK","BRAK MATERIAŁU / GRUBOŚCI"))</x:f>
      </x:c>
    </x:row>
    <x:row r="55" ht="22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7" t="str">
        <x:f>IF(COUNTA(A55:I55)=0,"",IF(COUNTIFS(Katalog!$A$2:$A$171,A55,Katalog!$B$2:$B$171,B55)&gt;0,"OK","BRAK MATERIAŁU / GRUBOŚCI"))</x:f>
      </x:c>
    </x:row>
    <x:row r="56" ht="22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7" t="str">
        <x:f>IF(COUNTA(A56:I56)=0,"",IF(COUNTIFS(Katalog!$A$2:$A$171,A56,Katalog!$B$2:$B$171,B56)&gt;0,"OK","BRAK MATERIAŁU / GRUBOŚCI"))</x:f>
      </x:c>
    </x:row>
    <x:row r="57" ht="22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7" t="str">
        <x:f>IF(COUNTA(A57:I57)=0,"",IF(COUNTIFS(Katalog!$A$2:$A$171,A57,Katalog!$B$2:$B$171,B57)&gt;0,"OK","BRAK MATERIAŁU / GRUBOŚCI"))</x:f>
      </x:c>
    </x:row>
    <x:row r="58" ht="22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7" t="str">
        <x:f>IF(COUNTA(A58:I58)=0,"",IF(COUNTIFS(Katalog!$A$2:$A$171,A58,Katalog!$B$2:$B$171,B58)&gt;0,"OK","BRAK MATERIAŁU / GRUBOŚCI"))</x:f>
      </x:c>
    </x:row>
    <x:row r="59" ht="22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7" t="str">
        <x:f>IF(COUNTA(A59:I59)=0,"",IF(COUNTIFS(Katalog!$A$2:$A$171,A59,Katalog!$B$2:$B$171,B59)&gt;0,"OK","BRAK MATERIAŁU / GRUBOŚCI"))</x:f>
      </x:c>
    </x:row>
    <x:row r="60" ht="22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7" t="str">
        <x:f>IF(COUNTA(A60:I60)=0,"",IF(COUNTIFS(Katalog!$A$2:$A$171,A60,Katalog!$B$2:$B$171,B60)&gt;0,"OK","BRAK MATERIAŁU / GRUBOŚCI"))</x:f>
      </x:c>
    </x:row>
    <x:row r="61" ht="22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7" t="str">
        <x:f>IF(COUNTA(A61:I61)=0,"",IF(COUNTIFS(Katalog!$A$2:$A$171,A61,Katalog!$B$2:$B$171,B61)&gt;0,"OK","BRAK MATERIAŁU / GRUBOŚCI"))</x:f>
      </x:c>
    </x:row>
    <x:row r="62" ht="22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7" t="str">
        <x:f>IF(COUNTA(A62:I62)=0,"",IF(COUNTIFS(Katalog!$A$2:$A$171,A62,Katalog!$B$2:$B$171,B62)&gt;0,"OK","BRAK MATERIAŁU / GRUBOŚCI"))</x:f>
      </x:c>
    </x:row>
    <x:row r="63" ht="22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7" t="str">
        <x:f>IF(COUNTA(A63:I63)=0,"",IF(COUNTIFS(Katalog!$A$2:$A$171,A63,Katalog!$B$2:$B$171,B63)&gt;0,"OK","BRAK MATERIAŁU / GRUBOŚCI"))</x:f>
      </x:c>
    </x:row>
    <x:row r="64" ht="22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7" t="str">
        <x:f>IF(COUNTA(A64:I64)=0,"",IF(COUNTIFS(Katalog!$A$2:$A$171,A64,Katalog!$B$2:$B$171,B64)&gt;0,"OK","BRAK MATERIAŁU / GRUBOŚCI"))</x:f>
      </x:c>
    </x:row>
    <x:row r="65" ht="22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7" t="str">
        <x:f>IF(COUNTA(A65:I65)=0,"",IF(COUNTIFS(Katalog!$A$2:$A$171,A65,Katalog!$B$2:$B$171,B65)&gt;0,"OK","BRAK MATERIAŁU / GRUBOŚCI"))</x:f>
      </x:c>
    </x:row>
    <x:row r="66" ht="22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7" t="str">
        <x:f>IF(COUNTA(A66:I66)=0,"",IF(COUNTIFS(Katalog!$A$2:$A$171,A66,Katalog!$B$2:$B$171,B66)&gt;0,"OK","BRAK MATERIAŁU / GRUBOŚCI"))</x:f>
      </x:c>
    </x:row>
    <x:row r="67" ht="22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7" t="str">
        <x:f>IF(COUNTA(A67:I67)=0,"",IF(COUNTIFS(Katalog!$A$2:$A$171,A67,Katalog!$B$2:$B$171,B67)&gt;0,"OK","BRAK MATERIAŁU / GRUBOŚCI"))</x:f>
      </x:c>
    </x:row>
    <x:row r="68" ht="22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7" t="str">
        <x:f>IF(COUNTA(A68:I68)=0,"",IF(COUNTIFS(Katalog!$A$2:$A$171,A68,Katalog!$B$2:$B$171,B68)&gt;0,"OK","BRAK MATERIAŁU / GRUBOŚCI"))</x:f>
      </x:c>
    </x:row>
    <x:row r="69" ht="22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7" t="str">
        <x:f>IF(COUNTA(A69:I69)=0,"",IF(COUNTIFS(Katalog!$A$2:$A$171,A69,Katalog!$B$2:$B$171,B69)&gt;0,"OK","BRAK MATERIAŁU / GRUBOŚCI"))</x:f>
      </x:c>
    </x:row>
    <x:row r="70" ht="22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7" t="str">
        <x:f>IF(COUNTA(A70:I70)=0,"",IF(COUNTIFS(Katalog!$A$2:$A$171,A70,Katalog!$B$2:$B$171,B70)&gt;0,"OK","BRAK MATERIAŁU / GRUBOŚCI"))</x:f>
      </x:c>
    </x:row>
    <x:row r="71" ht="22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7" t="str">
        <x:f>IF(COUNTA(A71:I71)=0,"",IF(COUNTIFS(Katalog!$A$2:$A$171,A71,Katalog!$B$2:$B$171,B71)&gt;0,"OK","BRAK MATERIAŁU / GRUBOŚCI"))</x:f>
      </x:c>
    </x:row>
    <x:row r="72" ht="22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7" t="str">
        <x:f>IF(COUNTA(A72:I72)=0,"",IF(COUNTIFS(Katalog!$A$2:$A$171,A72,Katalog!$B$2:$B$171,B72)&gt;0,"OK","BRAK MATERIAŁU / GRUBOŚCI"))</x:f>
      </x:c>
    </x:row>
    <x:row r="73" ht="22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7" t="str">
        <x:f>IF(COUNTA(A73:I73)=0,"",IF(COUNTIFS(Katalog!$A$2:$A$171,A73,Katalog!$B$2:$B$171,B73)&gt;0,"OK","BRAK MATERIAŁU / GRUBOŚCI"))</x:f>
      </x:c>
    </x:row>
    <x:row r="74" ht="22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7" t="str">
        <x:f>IF(COUNTA(A74:I74)=0,"",IF(COUNTIFS(Katalog!$A$2:$A$171,A74,Katalog!$B$2:$B$171,B74)&gt;0,"OK","BRAK MATERIAŁU / GRUBOŚCI"))</x:f>
      </x:c>
    </x:row>
    <x:row r="75" ht="22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7" t="str">
        <x:f>IF(COUNTA(A75:I75)=0,"",IF(COUNTIFS(Katalog!$A$2:$A$171,A75,Katalog!$B$2:$B$171,B75)&gt;0,"OK","BRAK MATERIAŁU / GRUBOŚCI"))</x:f>
      </x:c>
    </x:row>
    <x:row r="76" ht="22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7" t="str">
        <x:f>IF(COUNTA(A76:I76)=0,"",IF(COUNTIFS(Katalog!$A$2:$A$171,A76,Katalog!$B$2:$B$171,B76)&gt;0,"OK","BRAK MATERIAŁU / GRUBOŚCI"))</x:f>
      </x:c>
    </x:row>
    <x:row r="77" ht="22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7" t="str">
        <x:f>IF(COUNTA(A77:I77)=0,"",IF(COUNTIFS(Katalog!$A$2:$A$171,A77,Katalog!$B$2:$B$171,B77)&gt;0,"OK","BRAK MATERIAŁU / GRUBOŚCI"))</x:f>
      </x:c>
    </x:row>
    <x:row r="78" ht="22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7" t="str">
        <x:f>IF(COUNTA(A78:I78)=0,"",IF(COUNTIFS(Katalog!$A$2:$A$171,A78,Katalog!$B$2:$B$171,B78)&gt;0,"OK","BRAK MATERIAŁU / GRUBOŚCI"))</x:f>
      </x:c>
    </x:row>
    <x:row r="79" ht="22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7" t="str">
        <x:f>IF(COUNTA(A79:I79)=0,"",IF(COUNTIFS(Katalog!$A$2:$A$171,A79,Katalog!$B$2:$B$171,B79)&gt;0,"OK","BRAK MATERIAŁU / GRUBOŚCI"))</x:f>
      </x:c>
    </x:row>
    <x:row r="80" ht="22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7" t="str">
        <x:f>IF(COUNTA(A80:I80)=0,"",IF(COUNTIFS(Katalog!$A$2:$A$171,A80,Katalog!$B$2:$B$171,B80)&gt;0,"OK","BRAK MATERIAŁU / GRUBOŚCI"))</x:f>
      </x:c>
    </x:row>
    <x:row r="81" ht="22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7" t="str">
        <x:f>IF(COUNTA(A81:I81)=0,"",IF(COUNTIFS(Katalog!$A$2:$A$171,A81,Katalog!$B$2:$B$171,B81)&gt;0,"OK","BRAK MATERIAŁU / GRUBOŚCI"))</x:f>
      </x:c>
    </x:row>
    <x:row r="82" ht="22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7" t="str">
        <x:f>IF(COUNTA(A82:I82)=0,"",IF(COUNTIFS(Katalog!$A$2:$A$171,A82,Katalog!$B$2:$B$171,B82)&gt;0,"OK","BRAK MATERIAŁU / GRUBOŚCI"))</x:f>
      </x:c>
    </x:row>
    <x:row r="83" ht="22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7" t="str">
        <x:f>IF(COUNTA(A83:I83)=0,"",IF(COUNTIFS(Katalog!$A$2:$A$171,A83,Katalog!$B$2:$B$171,B83)&gt;0,"OK","BRAK MATERIAŁU / GRUBOŚCI"))</x:f>
      </x:c>
    </x:row>
    <x:row r="84" ht="22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7" t="str">
        <x:f>IF(COUNTA(A84:I84)=0,"",IF(COUNTIFS(Katalog!$A$2:$A$171,A84,Katalog!$B$2:$B$171,B84)&gt;0,"OK","BRAK MATERIAŁU / GRUBOŚCI"))</x:f>
      </x:c>
    </x:row>
    <x:row r="85" ht="22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7" t="str">
        <x:f>IF(COUNTA(A85:I85)=0,"",IF(COUNTIFS(Katalog!$A$2:$A$171,A85,Katalog!$B$2:$B$171,B85)&gt;0,"OK","BRAK MATERIAŁU / GRUBOŚCI"))</x:f>
      </x:c>
    </x:row>
    <x:row r="86" ht="22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7" t="str">
        <x:f>IF(COUNTA(A86:I86)=0,"",IF(COUNTIFS(Katalog!$A$2:$A$171,A86,Katalog!$B$2:$B$171,B86)&gt;0,"OK","BRAK MATERIAŁU / GRUBOŚCI"))</x:f>
      </x:c>
    </x:row>
    <x:row r="87" ht="22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7" t="str">
        <x:f>IF(COUNTA(A87:I87)=0,"",IF(COUNTIFS(Katalog!$A$2:$A$171,A87,Katalog!$B$2:$B$171,B87)&gt;0,"OK","BRAK MATERIAŁU / GRUBOŚCI"))</x:f>
      </x:c>
    </x:row>
    <x:row r="88" ht="22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7" t="str">
        <x:f>IF(COUNTA(A88:I88)=0,"",IF(COUNTIFS(Katalog!$A$2:$A$171,A88,Katalog!$B$2:$B$171,B88)&gt;0,"OK","BRAK MATERIAŁU / GRUBOŚCI"))</x:f>
      </x:c>
    </x:row>
    <x:row r="89" ht="22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7" t="str">
        <x:f>IF(COUNTA(A89:I89)=0,"",IF(COUNTIFS(Katalog!$A$2:$A$171,A89,Katalog!$B$2:$B$171,B89)&gt;0,"OK","BRAK MATERIAŁU / GRUBOŚCI"))</x:f>
      </x:c>
    </x:row>
    <x:row r="90" ht="22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7" t="str">
        <x:f>IF(COUNTA(A90:I90)=0,"",IF(COUNTIFS(Katalog!$A$2:$A$171,A90,Katalog!$B$2:$B$171,B90)&gt;0,"OK","BRAK MATERIAŁU / GRUBOŚCI"))</x:f>
      </x:c>
    </x:row>
    <x:row r="91" ht="22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7" t="str">
        <x:f>IF(COUNTA(A91:I91)=0,"",IF(COUNTIFS(Katalog!$A$2:$A$171,A91,Katalog!$B$2:$B$171,B91)&gt;0,"OK","BRAK MATERIAŁU / GRUBOŚCI"))</x:f>
      </x:c>
    </x:row>
    <x:row r="92" ht="22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7" t="str">
        <x:f>IF(COUNTA(A92:I92)=0,"",IF(COUNTIFS(Katalog!$A$2:$A$171,A92,Katalog!$B$2:$B$171,B92)&gt;0,"OK","BRAK MATERIAŁU / GRUBOŚCI"))</x:f>
      </x:c>
    </x:row>
    <x:row r="93" ht="22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7" t="str">
        <x:f>IF(COUNTA(A93:I93)=0,"",IF(COUNTIFS(Katalog!$A$2:$A$171,A93,Katalog!$B$2:$B$171,B93)&gt;0,"OK","BRAK MATERIAŁU / GRUBOŚCI"))</x:f>
      </x:c>
    </x:row>
    <x:row r="94" ht="22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7" t="str">
        <x:f>IF(COUNTA(A94:I94)=0,"",IF(COUNTIFS(Katalog!$A$2:$A$171,A94,Katalog!$B$2:$B$171,B94)&gt;0,"OK","BRAK MATERIAŁU / GRUBOŚCI"))</x:f>
      </x:c>
    </x:row>
    <x:row r="95" ht="22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7" t="str">
        <x:f>IF(COUNTA(A95:I95)=0,"",IF(COUNTIFS(Katalog!$A$2:$A$171,A95,Katalog!$B$2:$B$171,B95)&gt;0,"OK","BRAK MATERIAŁU / GRUBOŚCI"))</x:f>
      </x:c>
    </x:row>
    <x:row r="96" ht="22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7" t="str">
        <x:f>IF(COUNTA(A96:I96)=0,"",IF(COUNTIFS(Katalog!$A$2:$A$171,A96,Katalog!$B$2:$B$171,B96)&gt;0,"OK","BRAK MATERIAŁU / GRUBOŚCI"))</x:f>
      </x:c>
    </x:row>
    <x:row r="97" ht="22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7" t="str">
        <x:f>IF(COUNTA(A97:I97)=0,"",IF(COUNTIFS(Katalog!$A$2:$A$171,A97,Katalog!$B$2:$B$171,B97)&gt;0,"OK","BRAK MATERIAŁU / GRUBOŚCI"))</x:f>
      </x:c>
    </x:row>
    <x:row r="98" ht="22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7" t="str">
        <x:f>IF(COUNTA(A98:I98)=0,"",IF(COUNTIFS(Katalog!$A$2:$A$171,A98,Katalog!$B$2:$B$171,B98)&gt;0,"OK","BRAK MATERIAŁU / GRUBOŚCI"))</x:f>
      </x:c>
    </x:row>
    <x:row r="99" ht="22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7" t="str">
        <x:f>IF(COUNTA(A99:I99)=0,"",IF(COUNTIFS(Katalog!$A$2:$A$171,A99,Katalog!$B$2:$B$171,B99)&gt;0,"OK","BRAK MATERIAŁU / GRUBOŚCI"))</x:f>
      </x:c>
    </x:row>
    <x:row r="100" ht="22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7" t="str">
        <x:f>IF(COUNTA(A100:I100)=0,"",IF(COUNTIFS(Katalog!$A$2:$A$171,A100,Katalog!$B$2:$B$171,B100)&gt;0,"OK","BRAK MATERIAŁU / GRUBOŚCI"))</x:f>
      </x:c>
    </x:row>
    <x:row r="101" ht="22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7" t="str">
        <x:f>IF(COUNTA(A101:I101)=0,"",IF(COUNTIFS(Katalog!$A$2:$A$171,A101,Katalog!$B$2:$B$171,B101)&gt;0,"OK","BRAK MATERIAŁU / GRUBOŚCI"))</x:f>
      </x:c>
    </x:row>
    <x:row r="102" ht="22" customHeight="1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8" t="str">
        <x:f>IF(COUNTA(A102:I102)=0,"",IF(COUNTIFS(Katalog!$A$2:$A$171,A102,Katalog!$B$2:$B$171,B102)&gt;0,"OK","BRAK MATERIAŁU / GRUBOŚCI"))</x:f>
      </x:c>
    </x:row>
  </x:sheetData>
  <x:mergeCells>
    <x:mergeCell ref="A1:J1"/>
  </x:mergeCells>
  <x:conditionalFormatting sqref="J3:J102">
    <x:cfRule type="containsText" dxfId="0" priority="1" operator="containsText" text="OK"/>
    <x:cfRule type="containsText" dxfId="1" priority="2" operator="containsText" text="BRAK"/>
  </x:conditionalFormatting>
  <x:dataValidations count="5">
    <x:dataValidation type="list" sqref="A3:A102">
      <x:formula1>Katalog!$F$2:$F$21</x:formula1>
    </x:dataValidation>
    <x:dataValidation type="list" sqref="B3:B102">
      <x:formula1>Katalog!$G$2:$G$10</x:formula1>
    </x:dataValidation>
    <x:dataValidation type="list" sqref="F3:F102">
      <x:formula1>"TAK,NIE"</x:formula1>
    </x:dataValidation>
    <x:dataValidation type="whole" operator="between" sqref="E3:E102">
      <x:formula1>1</x:formula1>
      <x:formula2>15000</x:formula2>
    </x:dataValidation>
    <x:dataValidation type="whole" operator="between" sqref="G3:G102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8ab570b2c4f4a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15" hidden="0" customWidth="1"/>
    <x:col min="9" max="9" width="32" hidden="0" customWidth="1"/>
  </x:cols>
  <x:sheetData>
    <x:row r="1" ht="34" customHeight="1">
      <x:c r="A1" s="3" t="str">
        <x:v>PŁYTY DO ROZKROJU</x:v>
      </x:c>
      <x:c r="B1" s="3" t="str">
        <x:v>PŁYTY DO ROZKROJU</x:v>
      </x:c>
      <x:c r="C1" s="3" t="str">
        <x:v>PŁYTY DO ROZKROJU</x:v>
      </x:c>
      <x:c r="D1" s="3" t="str">
        <x:v>PŁYTY DO ROZKROJU</x:v>
      </x:c>
      <x:c r="E1" s="3" t="str">
        <x:v>PŁYTY DO ROZKROJU</x:v>
      </x:c>
      <x:c r="F1" s="3" t="str">
        <x:v>PŁYTY DO ROZKROJU</x:v>
      </x:c>
      <x:c r="G1" s="3" t="str">
        <x:v>PŁYTY DO ROZKROJU</x:v>
      </x:c>
      <x:c r="H1" s="3" t="str">
        <x:v>PŁYTY DO ROZKROJU</x:v>
      </x:c>
      <x:c r="I1" s="3" t="str">
        <x:v>PŁYTY DO ROZKROJU</x:v>
      </x:c>
    </x:row>
    <x:row r="2" ht="32" customHeight="1">
      <x:c r="A2" s="37" t="str">
        <x:v>Materiał</x:v>
      </x:c>
      <x:c r="B2" s="38" t="str">
        <x:v>Grubość [mm]</x:v>
      </x:c>
      <x:c r="C2" s="38" t="str">
        <x:v>Format płyty [mm]</x:v>
      </x:c>
      <x:c r="D2" s="38" t="str">
        <x:v>Ilość płyt</x:v>
      </x:c>
      <x:c r="E2" s="38" t="str">
        <x:v>Sztapel</x:v>
      </x:c>
      <x:c r="F2" s="38" t="str">
        <x:v>Priorytet</x:v>
      </x:c>
      <x:c r="G2" s="38" t="str">
        <x:v>Kierunek cięcia</x:v>
      </x:c>
      <x:c r="H2" s="38" t="str">
        <x:v>Obrót płyty</x:v>
      </x:c>
      <x:c r="I2" s="39" t="str">
        <x:v>Kontrola</x:v>
      </x:c>
    </x:row>
    <x:row r="3" ht="22" customHeight="1">
      <x:c r="A3" s="43"/>
      <x:c r="B3" s="43"/>
      <x:c r="C3" s="43"/>
      <x:c r="D3" s="43"/>
      <x:c r="E3" s="43"/>
      <x:c r="F3" s="43"/>
      <x:c r="G3" s="43"/>
      <x:c r="H3" s="43"/>
      <x:c r="I3" s="46" t="str">
        <x:f>IF(COUNTA(A3:H3)=0,"",IF(COUNTIFS(Katalog!$A$2:$A$171,A3,Katalog!$B$2:$B$171,B3,Katalog!$C$2:$C$171,C3)&gt;0,"OK","BRAK TAKIEJ PŁYTY W KATALOGU"))</x:f>
      </x:c>
    </x:row>
    <x:row r="4" ht="22" customHeight="1">
      <x:c r="A4" s="44"/>
      <x:c r="B4" s="44"/>
      <x:c r="C4" s="44"/>
      <x:c r="D4" s="44"/>
      <x:c r="E4" s="44"/>
      <x:c r="F4" s="44"/>
      <x:c r="G4" s="44"/>
      <x:c r="H4" s="44"/>
      <x:c r="I4" s="47" t="str">
        <x:f>IF(COUNTA(A4:H4)=0,"",IF(COUNTIFS(Katalog!$A$2:$A$171,A4,Katalog!$B$2:$B$171,B4,Katalog!$C$2:$C$171,C4)&gt;0,"OK","BRAK TAKIEJ PŁYTY W KATALOGU"))</x:f>
      </x:c>
    </x:row>
    <x:row r="5" ht="22" customHeight="1">
      <x:c r="A5" s="44"/>
      <x:c r="B5" s="44"/>
      <x:c r="C5" s="44"/>
      <x:c r="D5" s="44"/>
      <x:c r="E5" s="44"/>
      <x:c r="F5" s="44"/>
      <x:c r="G5" s="44"/>
      <x:c r="H5" s="44"/>
      <x:c r="I5" s="47" t="str">
        <x:f>IF(COUNTA(A5:H5)=0,"",IF(COUNTIFS(Katalog!$A$2:$A$171,A5,Katalog!$B$2:$B$171,B5,Katalog!$C$2:$C$171,C5)&gt;0,"OK","BRAK TAKIEJ PŁYTY W KATALOGU"))</x:f>
      </x:c>
    </x:row>
    <x:row r="6" ht="22" customHeight="1">
      <x:c r="A6" s="44"/>
      <x:c r="B6" s="44"/>
      <x:c r="C6" s="44"/>
      <x:c r="D6" s="44"/>
      <x:c r="E6" s="44"/>
      <x:c r="F6" s="44"/>
      <x:c r="G6" s="44"/>
      <x:c r="H6" s="44"/>
      <x:c r="I6" s="47" t="str">
        <x:f>IF(COUNTA(A6:H6)=0,"",IF(COUNTIFS(Katalog!$A$2:$A$171,A6,Katalog!$B$2:$B$171,B6,Katalog!$C$2:$C$171,C6)&gt;0,"OK","BRAK TAKIEJ PŁYTY W KATALOGU"))</x:f>
      </x:c>
    </x:row>
    <x:row r="7" ht="22" customHeight="1">
      <x:c r="A7" s="44"/>
      <x:c r="B7" s="44"/>
      <x:c r="C7" s="44"/>
      <x:c r="D7" s="44"/>
      <x:c r="E7" s="44"/>
      <x:c r="F7" s="44"/>
      <x:c r="G7" s="44"/>
      <x:c r="H7" s="44"/>
      <x:c r="I7" s="47" t="str">
        <x:f>IF(COUNTA(A7:H7)=0,"",IF(COUNTIFS(Katalog!$A$2:$A$171,A7,Katalog!$B$2:$B$171,B7,Katalog!$C$2:$C$171,C7)&gt;0,"OK","BRAK TAKIEJ PŁYTY W KATALOGU"))</x:f>
      </x:c>
    </x:row>
    <x:row r="8" ht="22" customHeight="1">
      <x:c r="A8" s="44"/>
      <x:c r="B8" s="44"/>
      <x:c r="C8" s="44"/>
      <x:c r="D8" s="44"/>
      <x:c r="E8" s="44"/>
      <x:c r="F8" s="44"/>
      <x:c r="G8" s="44"/>
      <x:c r="H8" s="44"/>
      <x:c r="I8" s="47" t="str">
        <x:f>IF(COUNTA(A8:H8)=0,"",IF(COUNTIFS(Katalog!$A$2:$A$171,A8,Katalog!$B$2:$B$171,B8,Katalog!$C$2:$C$171,C8)&gt;0,"OK","BRAK TAKIEJ PŁYTY W KATALOGU"))</x:f>
      </x:c>
    </x:row>
    <x:row r="9" ht="22" customHeight="1">
      <x:c r="A9" s="44"/>
      <x:c r="B9" s="44"/>
      <x:c r="C9" s="44"/>
      <x:c r="D9" s="44"/>
      <x:c r="E9" s="44"/>
      <x:c r="F9" s="44"/>
      <x:c r="G9" s="44"/>
      <x:c r="H9" s="44"/>
      <x:c r="I9" s="47" t="str">
        <x:f>IF(COUNTA(A9:H9)=0,"",IF(COUNTIFS(Katalog!$A$2:$A$171,A9,Katalog!$B$2:$B$171,B9,Katalog!$C$2:$C$171,C9)&gt;0,"OK","BRAK TAKIEJ PŁYTY W KATALOGU"))</x:f>
      </x:c>
    </x:row>
    <x:row r="10" ht="22" customHeight="1">
      <x:c r="A10" s="44"/>
      <x:c r="B10" s="44"/>
      <x:c r="C10" s="44"/>
      <x:c r="D10" s="44"/>
      <x:c r="E10" s="44"/>
      <x:c r="F10" s="44"/>
      <x:c r="G10" s="44"/>
      <x:c r="H10" s="44"/>
      <x:c r="I10" s="47" t="str">
        <x:f>IF(COUNTA(A10:H10)=0,"",IF(COUNTIFS(Katalog!$A$2:$A$171,A10,Katalog!$B$2:$B$171,B10,Katalog!$C$2:$C$171,C10)&gt;0,"OK","BRAK TAKIEJ PŁYTY W KATALOGU"))</x:f>
      </x:c>
    </x:row>
    <x:row r="11" ht="22" customHeight="1">
      <x:c r="A11" s="44"/>
      <x:c r="B11" s="44"/>
      <x:c r="C11" s="44"/>
      <x:c r="D11" s="44"/>
      <x:c r="E11" s="44"/>
      <x:c r="F11" s="44"/>
      <x:c r="G11" s="44"/>
      <x:c r="H11" s="44"/>
      <x:c r="I11" s="47" t="str">
        <x:f>IF(COUNTA(A11:H11)=0,"",IF(COUNTIFS(Katalog!$A$2:$A$171,A11,Katalog!$B$2:$B$171,B11,Katalog!$C$2:$C$171,C11)&gt;0,"OK","BRAK TAKIEJ PŁYTY W KATALOGU"))</x:f>
      </x:c>
    </x:row>
    <x:row r="12" ht="22" customHeight="1">
      <x:c r="A12" s="44"/>
      <x:c r="B12" s="44"/>
      <x:c r="C12" s="44"/>
      <x:c r="D12" s="44"/>
      <x:c r="E12" s="44"/>
      <x:c r="F12" s="44"/>
      <x:c r="G12" s="44"/>
      <x:c r="H12" s="44"/>
      <x:c r="I12" s="47" t="str">
        <x:f>IF(COUNTA(A12:H12)=0,"",IF(COUNTIFS(Katalog!$A$2:$A$171,A12,Katalog!$B$2:$B$171,B12,Katalog!$C$2:$C$171,C12)&gt;0,"OK","BRAK TAKIEJ PŁYTY W KATALOGU"))</x:f>
      </x:c>
    </x:row>
    <x:row r="13" ht="22" customHeight="1">
      <x:c r="A13" s="44"/>
      <x:c r="B13" s="44"/>
      <x:c r="C13" s="44"/>
      <x:c r="D13" s="44"/>
      <x:c r="E13" s="44"/>
      <x:c r="F13" s="44"/>
      <x:c r="G13" s="44"/>
      <x:c r="H13" s="44"/>
      <x:c r="I13" s="47" t="str">
        <x:f>IF(COUNTA(A13:H13)=0,"",IF(COUNTIFS(Katalog!$A$2:$A$171,A13,Katalog!$B$2:$B$171,B13,Katalog!$C$2:$C$171,C13)&gt;0,"OK","BRAK TAKIEJ PŁYTY W KATALOGU"))</x:f>
      </x:c>
    </x:row>
    <x:row r="14" ht="22" customHeight="1">
      <x:c r="A14" s="44"/>
      <x:c r="B14" s="44"/>
      <x:c r="C14" s="44"/>
      <x:c r="D14" s="44"/>
      <x:c r="E14" s="44"/>
      <x:c r="F14" s="44"/>
      <x:c r="G14" s="44"/>
      <x:c r="H14" s="44"/>
      <x:c r="I14" s="47" t="str">
        <x:f>IF(COUNTA(A14:H14)=0,"",IF(COUNTIFS(Katalog!$A$2:$A$171,A14,Katalog!$B$2:$B$171,B14,Katalog!$C$2:$C$171,C14)&gt;0,"OK","BRAK TAKIEJ PŁYTY W KATALOGU"))</x:f>
      </x:c>
    </x:row>
    <x:row r="15" ht="22" customHeight="1">
      <x:c r="A15" s="44"/>
      <x:c r="B15" s="44"/>
      <x:c r="C15" s="44"/>
      <x:c r="D15" s="44"/>
      <x:c r="E15" s="44"/>
      <x:c r="F15" s="44"/>
      <x:c r="G15" s="44"/>
      <x:c r="H15" s="44"/>
      <x:c r="I15" s="47" t="str">
        <x:f>IF(COUNTA(A15:H15)=0,"",IF(COUNTIFS(Katalog!$A$2:$A$171,A15,Katalog!$B$2:$B$171,B15,Katalog!$C$2:$C$171,C15)&gt;0,"OK","BRAK TAKIEJ PŁYTY W KATALOGU"))</x:f>
      </x:c>
    </x:row>
    <x:row r="16" ht="22" customHeight="1">
      <x:c r="A16" s="44"/>
      <x:c r="B16" s="44"/>
      <x:c r="C16" s="44"/>
      <x:c r="D16" s="44"/>
      <x:c r="E16" s="44"/>
      <x:c r="F16" s="44"/>
      <x:c r="G16" s="44"/>
      <x:c r="H16" s="44"/>
      <x:c r="I16" s="47" t="str">
        <x:f>IF(COUNTA(A16:H16)=0,"",IF(COUNTIFS(Katalog!$A$2:$A$171,A16,Katalog!$B$2:$B$171,B16,Katalog!$C$2:$C$171,C16)&gt;0,"OK","BRAK TAKIEJ PŁYTY W KATALOGU"))</x:f>
      </x:c>
    </x:row>
    <x:row r="17" ht="22" customHeight="1">
      <x:c r="A17" s="44"/>
      <x:c r="B17" s="44"/>
      <x:c r="C17" s="44"/>
      <x:c r="D17" s="44"/>
      <x:c r="E17" s="44"/>
      <x:c r="F17" s="44"/>
      <x:c r="G17" s="44"/>
      <x:c r="H17" s="44"/>
      <x:c r="I17" s="47" t="str">
        <x:f>IF(COUNTA(A17:H17)=0,"",IF(COUNTIFS(Katalog!$A$2:$A$171,A17,Katalog!$B$2:$B$171,B17,Katalog!$C$2:$C$171,C17)&gt;0,"OK","BRAK TAKIEJ PŁYTY W KATALOGU"))</x:f>
      </x:c>
    </x:row>
    <x:row r="18" ht="22" customHeight="1">
      <x:c r="A18" s="44"/>
      <x:c r="B18" s="44"/>
      <x:c r="C18" s="44"/>
      <x:c r="D18" s="44"/>
      <x:c r="E18" s="44"/>
      <x:c r="F18" s="44"/>
      <x:c r="G18" s="44"/>
      <x:c r="H18" s="44"/>
      <x:c r="I18" s="47" t="str">
        <x:f>IF(COUNTA(A18:H18)=0,"",IF(COUNTIFS(Katalog!$A$2:$A$171,A18,Katalog!$B$2:$B$171,B18,Katalog!$C$2:$C$171,C18)&gt;0,"OK","BRAK TAKIEJ PŁYTY W KATALOGU"))</x:f>
      </x:c>
    </x:row>
    <x:row r="19" ht="22" customHeight="1">
      <x:c r="A19" s="44"/>
      <x:c r="B19" s="44"/>
      <x:c r="C19" s="44"/>
      <x:c r="D19" s="44"/>
      <x:c r="E19" s="44"/>
      <x:c r="F19" s="44"/>
      <x:c r="G19" s="44"/>
      <x:c r="H19" s="44"/>
      <x:c r="I19" s="47" t="str">
        <x:f>IF(COUNTA(A19:H19)=0,"",IF(COUNTIFS(Katalog!$A$2:$A$171,A19,Katalog!$B$2:$B$171,B19,Katalog!$C$2:$C$171,C19)&gt;0,"OK","BRAK TAKIEJ PŁYTY W KATALOGU"))</x:f>
      </x:c>
    </x:row>
    <x:row r="20" ht="22" customHeight="1">
      <x:c r="A20" s="44"/>
      <x:c r="B20" s="44"/>
      <x:c r="C20" s="44"/>
      <x:c r="D20" s="44"/>
      <x:c r="E20" s="44"/>
      <x:c r="F20" s="44"/>
      <x:c r="G20" s="44"/>
      <x:c r="H20" s="44"/>
      <x:c r="I20" s="47" t="str">
        <x:f>IF(COUNTA(A20:H20)=0,"",IF(COUNTIFS(Katalog!$A$2:$A$171,A20,Katalog!$B$2:$B$171,B20,Katalog!$C$2:$C$171,C20)&gt;0,"OK","BRAK TAKIEJ PŁYTY W KATALOGU"))</x:f>
      </x:c>
    </x:row>
    <x:row r="21" ht="22" customHeight="1">
      <x:c r="A21" s="44"/>
      <x:c r="B21" s="44"/>
      <x:c r="C21" s="44"/>
      <x:c r="D21" s="44"/>
      <x:c r="E21" s="44"/>
      <x:c r="F21" s="44"/>
      <x:c r="G21" s="44"/>
      <x:c r="H21" s="44"/>
      <x:c r="I21" s="47" t="str">
        <x:f>IF(COUNTA(A21:H21)=0,"",IF(COUNTIFS(Katalog!$A$2:$A$171,A21,Katalog!$B$2:$B$171,B21,Katalog!$C$2:$C$171,C21)&gt;0,"OK","BRAK TAKIEJ PŁYTY W KATALOGU"))</x:f>
      </x:c>
    </x:row>
    <x:row r="22" ht="22" customHeight="1">
      <x:c r="A22" s="44"/>
      <x:c r="B22" s="44"/>
      <x:c r="C22" s="44"/>
      <x:c r="D22" s="44"/>
      <x:c r="E22" s="44"/>
      <x:c r="F22" s="44"/>
      <x:c r="G22" s="44"/>
      <x:c r="H22" s="44"/>
      <x:c r="I22" s="47" t="str">
        <x:f>IF(COUNTA(A22:H22)=0,"",IF(COUNTIFS(Katalog!$A$2:$A$171,A22,Katalog!$B$2:$B$171,B22,Katalog!$C$2:$C$171,C22)&gt;0,"OK","BRAK TAKIEJ PŁYTY W KATALOGU"))</x:f>
      </x:c>
    </x:row>
    <x:row r="23" ht="22" customHeight="1">
      <x:c r="A23" s="44"/>
      <x:c r="B23" s="44"/>
      <x:c r="C23" s="44"/>
      <x:c r="D23" s="44"/>
      <x:c r="E23" s="44"/>
      <x:c r="F23" s="44"/>
      <x:c r="G23" s="44"/>
      <x:c r="H23" s="44"/>
      <x:c r="I23" s="47" t="str">
        <x:f>IF(COUNTA(A23:H23)=0,"",IF(COUNTIFS(Katalog!$A$2:$A$171,A23,Katalog!$B$2:$B$171,B23,Katalog!$C$2:$C$171,C23)&gt;0,"OK","BRAK TAKIEJ PŁYTY W KATALOGU"))</x:f>
      </x:c>
    </x:row>
    <x:row r="24" ht="22" customHeight="1">
      <x:c r="A24" s="44"/>
      <x:c r="B24" s="44"/>
      <x:c r="C24" s="44"/>
      <x:c r="D24" s="44"/>
      <x:c r="E24" s="44"/>
      <x:c r="F24" s="44"/>
      <x:c r="G24" s="44"/>
      <x:c r="H24" s="44"/>
      <x:c r="I24" s="47" t="str">
        <x:f>IF(COUNTA(A24:H24)=0,"",IF(COUNTIFS(Katalog!$A$2:$A$171,A24,Katalog!$B$2:$B$171,B24,Katalog!$C$2:$C$171,C24)&gt;0,"OK","BRAK TAKIEJ PŁYTY W KATALOGU"))</x:f>
      </x:c>
    </x:row>
    <x:row r="25" ht="22" customHeight="1">
      <x:c r="A25" s="44"/>
      <x:c r="B25" s="44"/>
      <x:c r="C25" s="44"/>
      <x:c r="D25" s="44"/>
      <x:c r="E25" s="44"/>
      <x:c r="F25" s="44"/>
      <x:c r="G25" s="44"/>
      <x:c r="H25" s="44"/>
      <x:c r="I25" s="47" t="str">
        <x:f>IF(COUNTA(A25:H25)=0,"",IF(COUNTIFS(Katalog!$A$2:$A$171,A25,Katalog!$B$2:$B$171,B25,Katalog!$C$2:$C$171,C25)&gt;0,"OK","BRAK TAKIEJ PŁYTY W KATALOGU"))</x:f>
      </x:c>
    </x:row>
    <x:row r="26" ht="22" customHeight="1">
      <x:c r="A26" s="44"/>
      <x:c r="B26" s="44"/>
      <x:c r="C26" s="44"/>
      <x:c r="D26" s="44"/>
      <x:c r="E26" s="44"/>
      <x:c r="F26" s="44"/>
      <x:c r="G26" s="44"/>
      <x:c r="H26" s="44"/>
      <x:c r="I26" s="47" t="str">
        <x:f>IF(COUNTA(A26:H26)=0,"",IF(COUNTIFS(Katalog!$A$2:$A$171,A26,Katalog!$B$2:$B$171,B26,Katalog!$C$2:$C$171,C26)&gt;0,"OK","BRAK TAKIEJ PŁYTY W KATALOGU"))</x:f>
      </x:c>
    </x:row>
    <x:row r="27" ht="22" customHeight="1">
      <x:c r="A27" s="44"/>
      <x:c r="B27" s="44"/>
      <x:c r="C27" s="44"/>
      <x:c r="D27" s="44"/>
      <x:c r="E27" s="44"/>
      <x:c r="F27" s="44"/>
      <x:c r="G27" s="44"/>
      <x:c r="H27" s="44"/>
      <x:c r="I27" s="47" t="str">
        <x:f>IF(COUNTA(A27:H27)=0,"",IF(COUNTIFS(Katalog!$A$2:$A$171,A27,Katalog!$B$2:$B$171,B27,Katalog!$C$2:$C$171,C27)&gt;0,"OK","BRAK TAKIEJ PŁYTY W KATALOGU"))</x:f>
      </x:c>
    </x:row>
    <x:row r="28" ht="22" customHeight="1">
      <x:c r="A28" s="44"/>
      <x:c r="B28" s="44"/>
      <x:c r="C28" s="44"/>
      <x:c r="D28" s="44"/>
      <x:c r="E28" s="44"/>
      <x:c r="F28" s="44"/>
      <x:c r="G28" s="44"/>
      <x:c r="H28" s="44"/>
      <x:c r="I28" s="47" t="str">
        <x:f>IF(COUNTA(A28:H28)=0,"",IF(COUNTIFS(Katalog!$A$2:$A$171,A28,Katalog!$B$2:$B$171,B28,Katalog!$C$2:$C$171,C28)&gt;0,"OK","BRAK TAKIEJ PŁYTY W KATALOGU"))</x:f>
      </x:c>
    </x:row>
    <x:row r="29" ht="22" customHeight="1">
      <x:c r="A29" s="44"/>
      <x:c r="B29" s="44"/>
      <x:c r="C29" s="44"/>
      <x:c r="D29" s="44"/>
      <x:c r="E29" s="44"/>
      <x:c r="F29" s="44"/>
      <x:c r="G29" s="44"/>
      <x:c r="H29" s="44"/>
      <x:c r="I29" s="47" t="str">
        <x:f>IF(COUNTA(A29:H29)=0,"",IF(COUNTIFS(Katalog!$A$2:$A$171,A29,Katalog!$B$2:$B$171,B29,Katalog!$C$2:$C$171,C29)&gt;0,"OK","BRAK TAKIEJ PŁYTY W KATALOGU"))</x:f>
      </x:c>
    </x:row>
    <x:row r="30" ht="22" customHeight="1">
      <x:c r="A30" s="44"/>
      <x:c r="B30" s="44"/>
      <x:c r="C30" s="44"/>
      <x:c r="D30" s="44"/>
      <x:c r="E30" s="44"/>
      <x:c r="F30" s="44"/>
      <x:c r="G30" s="44"/>
      <x:c r="H30" s="44"/>
      <x:c r="I30" s="47" t="str">
        <x:f>IF(COUNTA(A30:H30)=0,"",IF(COUNTIFS(Katalog!$A$2:$A$171,A30,Katalog!$B$2:$B$171,B30,Katalog!$C$2:$C$171,C30)&gt;0,"OK","BRAK TAKIEJ PŁYTY W KATALOGU"))</x:f>
      </x:c>
    </x:row>
    <x:row r="31" ht="22" customHeight="1">
      <x:c r="A31" s="44"/>
      <x:c r="B31" s="44"/>
      <x:c r="C31" s="44"/>
      <x:c r="D31" s="44"/>
      <x:c r="E31" s="44"/>
      <x:c r="F31" s="44"/>
      <x:c r="G31" s="44"/>
      <x:c r="H31" s="44"/>
      <x:c r="I31" s="47" t="str">
        <x:f>IF(COUNTA(A31:H31)=0,"",IF(COUNTIFS(Katalog!$A$2:$A$171,A31,Katalog!$B$2:$B$171,B31,Katalog!$C$2:$C$171,C31)&gt;0,"OK","BRAK TAKIEJ PŁYTY W KATALOGU"))</x:f>
      </x:c>
    </x:row>
    <x:row r="32" ht="22" customHeight="1">
      <x:c r="A32" s="44"/>
      <x:c r="B32" s="44"/>
      <x:c r="C32" s="44"/>
      <x:c r="D32" s="44"/>
      <x:c r="E32" s="44"/>
      <x:c r="F32" s="44"/>
      <x:c r="G32" s="44"/>
      <x:c r="H32" s="44"/>
      <x:c r="I32" s="47" t="str">
        <x:f>IF(COUNTA(A32:H32)=0,"",IF(COUNTIFS(Katalog!$A$2:$A$171,A32,Katalog!$B$2:$B$171,B32,Katalog!$C$2:$C$171,C32)&gt;0,"OK","BRAK TAKIEJ PŁYTY W KATALOGU"))</x:f>
      </x:c>
    </x:row>
    <x:row r="33" ht="22" customHeight="1">
      <x:c r="A33" s="44"/>
      <x:c r="B33" s="44"/>
      <x:c r="C33" s="44"/>
      <x:c r="D33" s="44"/>
      <x:c r="E33" s="44"/>
      <x:c r="F33" s="44"/>
      <x:c r="G33" s="44"/>
      <x:c r="H33" s="44"/>
      <x:c r="I33" s="47" t="str">
        <x:f>IF(COUNTA(A33:H33)=0,"",IF(COUNTIFS(Katalog!$A$2:$A$171,A33,Katalog!$B$2:$B$171,B33,Katalog!$C$2:$C$171,C33)&gt;0,"OK","BRAK TAKIEJ PŁYTY W KATALOGU"))</x:f>
      </x:c>
    </x:row>
    <x:row r="34" ht="22" customHeight="1">
      <x:c r="A34" s="44"/>
      <x:c r="B34" s="44"/>
      <x:c r="C34" s="44"/>
      <x:c r="D34" s="44"/>
      <x:c r="E34" s="44"/>
      <x:c r="F34" s="44"/>
      <x:c r="G34" s="44"/>
      <x:c r="H34" s="44"/>
      <x:c r="I34" s="47" t="str">
        <x:f>IF(COUNTA(A34:H34)=0,"",IF(COUNTIFS(Katalog!$A$2:$A$171,A34,Katalog!$B$2:$B$171,B34,Katalog!$C$2:$C$171,C34)&gt;0,"OK","BRAK TAKIEJ PŁYTY W KATALOGU"))</x:f>
      </x:c>
    </x:row>
    <x:row r="35" ht="22" customHeight="1">
      <x:c r="A35" s="44"/>
      <x:c r="B35" s="44"/>
      <x:c r="C35" s="44"/>
      <x:c r="D35" s="44"/>
      <x:c r="E35" s="44"/>
      <x:c r="F35" s="44"/>
      <x:c r="G35" s="44"/>
      <x:c r="H35" s="44"/>
      <x:c r="I35" s="47" t="str">
        <x:f>IF(COUNTA(A35:H35)=0,"",IF(COUNTIFS(Katalog!$A$2:$A$171,A35,Katalog!$B$2:$B$171,B35,Katalog!$C$2:$C$171,C35)&gt;0,"OK","BRAK TAKIEJ PŁYTY W KATALOGU"))</x:f>
      </x:c>
    </x:row>
    <x:row r="36" ht="22" customHeight="1">
      <x:c r="A36" s="44"/>
      <x:c r="B36" s="44"/>
      <x:c r="C36" s="44"/>
      <x:c r="D36" s="44"/>
      <x:c r="E36" s="44"/>
      <x:c r="F36" s="44"/>
      <x:c r="G36" s="44"/>
      <x:c r="H36" s="44"/>
      <x:c r="I36" s="47" t="str">
        <x:f>IF(COUNTA(A36:H36)=0,"",IF(COUNTIFS(Katalog!$A$2:$A$171,A36,Katalog!$B$2:$B$171,B36,Katalog!$C$2:$C$171,C36)&gt;0,"OK","BRAK TAKIEJ PŁYTY W KATALOGU"))</x:f>
      </x:c>
    </x:row>
    <x:row r="37" ht="22" customHeight="1">
      <x:c r="A37" s="44"/>
      <x:c r="B37" s="44"/>
      <x:c r="C37" s="44"/>
      <x:c r="D37" s="44"/>
      <x:c r="E37" s="44"/>
      <x:c r="F37" s="44"/>
      <x:c r="G37" s="44"/>
      <x:c r="H37" s="44"/>
      <x:c r="I37" s="47" t="str">
        <x:f>IF(COUNTA(A37:H37)=0,"",IF(COUNTIFS(Katalog!$A$2:$A$171,A37,Katalog!$B$2:$B$171,B37,Katalog!$C$2:$C$171,C37)&gt;0,"OK","BRAK TAKIEJ PŁYTY W KATALOGU"))</x:f>
      </x:c>
    </x:row>
    <x:row r="38" ht="22" customHeight="1">
      <x:c r="A38" s="44"/>
      <x:c r="B38" s="44"/>
      <x:c r="C38" s="44"/>
      <x:c r="D38" s="44"/>
      <x:c r="E38" s="44"/>
      <x:c r="F38" s="44"/>
      <x:c r="G38" s="44"/>
      <x:c r="H38" s="44"/>
      <x:c r="I38" s="47" t="str">
        <x:f>IF(COUNTA(A38:H38)=0,"",IF(COUNTIFS(Katalog!$A$2:$A$171,A38,Katalog!$B$2:$B$171,B38,Katalog!$C$2:$C$171,C38)&gt;0,"OK","BRAK TAKIEJ PŁYTY W KATALOGU"))</x:f>
      </x:c>
    </x:row>
    <x:row r="39" ht="22" customHeight="1">
      <x:c r="A39" s="44"/>
      <x:c r="B39" s="44"/>
      <x:c r="C39" s="44"/>
      <x:c r="D39" s="44"/>
      <x:c r="E39" s="44"/>
      <x:c r="F39" s="44"/>
      <x:c r="G39" s="44"/>
      <x:c r="H39" s="44"/>
      <x:c r="I39" s="47" t="str">
        <x:f>IF(COUNTA(A39:H39)=0,"",IF(COUNTIFS(Katalog!$A$2:$A$171,A39,Katalog!$B$2:$B$171,B39,Katalog!$C$2:$C$171,C39)&gt;0,"OK","BRAK TAKIEJ PŁYTY W KATALOGU"))</x:f>
      </x:c>
    </x:row>
    <x:row r="40" ht="22" customHeight="1">
      <x:c r="A40" s="44"/>
      <x:c r="B40" s="44"/>
      <x:c r="C40" s="44"/>
      <x:c r="D40" s="44"/>
      <x:c r="E40" s="44"/>
      <x:c r="F40" s="44"/>
      <x:c r="G40" s="44"/>
      <x:c r="H40" s="44"/>
      <x:c r="I40" s="47" t="str">
        <x:f>IF(COUNTA(A40:H40)=0,"",IF(COUNTIFS(Katalog!$A$2:$A$171,A40,Katalog!$B$2:$B$171,B40,Katalog!$C$2:$C$171,C40)&gt;0,"OK","BRAK TAKIEJ PŁYTY W KATALOGU"))</x:f>
      </x:c>
    </x:row>
    <x:row r="41" ht="22" customHeight="1">
      <x:c r="A41" s="44"/>
      <x:c r="B41" s="44"/>
      <x:c r="C41" s="44"/>
      <x:c r="D41" s="44"/>
      <x:c r="E41" s="44"/>
      <x:c r="F41" s="44"/>
      <x:c r="G41" s="44"/>
      <x:c r="H41" s="44"/>
      <x:c r="I41" s="47" t="str">
        <x:f>IF(COUNTA(A41:H41)=0,"",IF(COUNTIFS(Katalog!$A$2:$A$171,A41,Katalog!$B$2:$B$171,B41,Katalog!$C$2:$C$171,C41)&gt;0,"OK","BRAK TAKIEJ PŁYTY W KATALOGU"))</x:f>
      </x:c>
    </x:row>
    <x:row r="42" ht="22" customHeight="1">
      <x:c r="A42" s="44"/>
      <x:c r="B42" s="44"/>
      <x:c r="C42" s="44"/>
      <x:c r="D42" s="44"/>
      <x:c r="E42" s="44"/>
      <x:c r="F42" s="44"/>
      <x:c r="G42" s="44"/>
      <x:c r="H42" s="44"/>
      <x:c r="I42" s="47" t="str">
        <x:f>IF(COUNTA(A42:H42)=0,"",IF(COUNTIFS(Katalog!$A$2:$A$171,A42,Katalog!$B$2:$B$171,B42,Katalog!$C$2:$C$171,C42)&gt;0,"OK","BRAK TAKIEJ PŁYTY W KATALOGU"))</x:f>
      </x:c>
    </x:row>
    <x:row r="43" ht="22" customHeight="1">
      <x:c r="A43" s="44"/>
      <x:c r="B43" s="44"/>
      <x:c r="C43" s="44"/>
      <x:c r="D43" s="44"/>
      <x:c r="E43" s="44"/>
      <x:c r="F43" s="44"/>
      <x:c r="G43" s="44"/>
      <x:c r="H43" s="44"/>
      <x:c r="I43" s="47" t="str">
        <x:f>IF(COUNTA(A43:H43)=0,"",IF(COUNTIFS(Katalog!$A$2:$A$171,A43,Katalog!$B$2:$B$171,B43,Katalog!$C$2:$C$171,C43)&gt;0,"OK","BRAK TAKIEJ PŁYTY W KATALOGU"))</x:f>
      </x:c>
    </x:row>
    <x:row r="44" ht="22" customHeight="1">
      <x:c r="A44" s="44"/>
      <x:c r="B44" s="44"/>
      <x:c r="C44" s="44"/>
      <x:c r="D44" s="44"/>
      <x:c r="E44" s="44"/>
      <x:c r="F44" s="44"/>
      <x:c r="G44" s="44"/>
      <x:c r="H44" s="44"/>
      <x:c r="I44" s="47" t="str">
        <x:f>IF(COUNTA(A44:H44)=0,"",IF(COUNTIFS(Katalog!$A$2:$A$171,A44,Katalog!$B$2:$B$171,B44,Katalog!$C$2:$C$171,C44)&gt;0,"OK","BRAK TAKIEJ PŁYTY W KATALOGU"))</x:f>
      </x:c>
    </x:row>
    <x:row r="45" ht="22" customHeight="1">
      <x:c r="A45" s="44"/>
      <x:c r="B45" s="44"/>
      <x:c r="C45" s="44"/>
      <x:c r="D45" s="44"/>
      <x:c r="E45" s="44"/>
      <x:c r="F45" s="44"/>
      <x:c r="G45" s="44"/>
      <x:c r="H45" s="44"/>
      <x:c r="I45" s="47" t="str">
        <x:f>IF(COUNTA(A45:H45)=0,"",IF(COUNTIFS(Katalog!$A$2:$A$171,A45,Katalog!$B$2:$B$171,B45,Katalog!$C$2:$C$171,C45)&gt;0,"OK","BRAK TAKIEJ PŁYTY W KATALOGU"))</x:f>
      </x:c>
    </x:row>
    <x:row r="46" ht="22" customHeight="1">
      <x:c r="A46" s="44"/>
      <x:c r="B46" s="44"/>
      <x:c r="C46" s="44"/>
      <x:c r="D46" s="44"/>
      <x:c r="E46" s="44"/>
      <x:c r="F46" s="44"/>
      <x:c r="G46" s="44"/>
      <x:c r="H46" s="44"/>
      <x:c r="I46" s="47" t="str">
        <x:f>IF(COUNTA(A46:H46)=0,"",IF(COUNTIFS(Katalog!$A$2:$A$171,A46,Katalog!$B$2:$B$171,B46,Katalog!$C$2:$C$171,C46)&gt;0,"OK","BRAK TAKIEJ PŁYTY W KATALOGU"))</x:f>
      </x:c>
    </x:row>
    <x:row r="47" ht="22" customHeight="1">
      <x:c r="A47" s="44"/>
      <x:c r="B47" s="44"/>
      <x:c r="C47" s="44"/>
      <x:c r="D47" s="44"/>
      <x:c r="E47" s="44"/>
      <x:c r="F47" s="44"/>
      <x:c r="G47" s="44"/>
      <x:c r="H47" s="44"/>
      <x:c r="I47" s="47" t="str">
        <x:f>IF(COUNTA(A47:H47)=0,"",IF(COUNTIFS(Katalog!$A$2:$A$171,A47,Katalog!$B$2:$B$171,B47,Katalog!$C$2:$C$171,C47)&gt;0,"OK","BRAK TAKIEJ PŁYTY W KATALOGU"))</x:f>
      </x:c>
    </x:row>
    <x:row r="48" ht="22" customHeight="1">
      <x:c r="A48" s="44"/>
      <x:c r="B48" s="44"/>
      <x:c r="C48" s="44"/>
      <x:c r="D48" s="44"/>
      <x:c r="E48" s="44"/>
      <x:c r="F48" s="44"/>
      <x:c r="G48" s="44"/>
      <x:c r="H48" s="44"/>
      <x:c r="I48" s="47" t="str">
        <x:f>IF(COUNTA(A48:H48)=0,"",IF(COUNTIFS(Katalog!$A$2:$A$171,A48,Katalog!$B$2:$B$171,B48,Katalog!$C$2:$C$171,C48)&gt;0,"OK","BRAK TAKIEJ PŁYTY W KATALOGU"))</x:f>
      </x:c>
    </x:row>
    <x:row r="49" ht="22" customHeight="1">
      <x:c r="A49" s="44"/>
      <x:c r="B49" s="44"/>
      <x:c r="C49" s="44"/>
      <x:c r="D49" s="44"/>
      <x:c r="E49" s="44"/>
      <x:c r="F49" s="44"/>
      <x:c r="G49" s="44"/>
      <x:c r="H49" s="44"/>
      <x:c r="I49" s="47" t="str">
        <x:f>IF(COUNTA(A49:H49)=0,"",IF(COUNTIFS(Katalog!$A$2:$A$171,A49,Katalog!$B$2:$B$171,B49,Katalog!$C$2:$C$171,C49)&gt;0,"OK","BRAK TAKIEJ PŁYTY W KATALOGU"))</x:f>
      </x:c>
    </x:row>
    <x:row r="50" ht="22" customHeight="1">
      <x:c r="A50" s="44"/>
      <x:c r="B50" s="44"/>
      <x:c r="C50" s="44"/>
      <x:c r="D50" s="44"/>
      <x:c r="E50" s="44"/>
      <x:c r="F50" s="44"/>
      <x:c r="G50" s="44"/>
      <x:c r="H50" s="44"/>
      <x:c r="I50" s="47" t="str">
        <x:f>IF(COUNTA(A50:H50)=0,"",IF(COUNTIFS(Katalog!$A$2:$A$171,A50,Katalog!$B$2:$B$171,B50,Katalog!$C$2:$C$171,C50)&gt;0,"OK","BRAK TAKIEJ PŁYTY W KATALOGU"))</x:f>
      </x:c>
    </x:row>
    <x:row r="51" ht="22" customHeight="1">
      <x:c r="A51" s="44"/>
      <x:c r="B51" s="44"/>
      <x:c r="C51" s="44"/>
      <x:c r="D51" s="44"/>
      <x:c r="E51" s="44"/>
      <x:c r="F51" s="44"/>
      <x:c r="G51" s="44"/>
      <x:c r="H51" s="44"/>
      <x:c r="I51" s="47" t="str">
        <x:f>IF(COUNTA(A51:H51)=0,"",IF(COUNTIFS(Katalog!$A$2:$A$171,A51,Katalog!$B$2:$B$171,B51,Katalog!$C$2:$C$171,C51)&gt;0,"OK","BRAK TAKIEJ PŁYTY W KATALOGU"))</x:f>
      </x:c>
    </x:row>
    <x:row r="52" ht="22" customHeight="1">
      <x:c r="A52" s="44"/>
      <x:c r="B52" s="44"/>
      <x:c r="C52" s="44"/>
      <x:c r="D52" s="44"/>
      <x:c r="E52" s="44"/>
      <x:c r="F52" s="44"/>
      <x:c r="G52" s="44"/>
      <x:c r="H52" s="44"/>
      <x:c r="I52" s="47" t="str">
        <x:f>IF(COUNTA(A52:H52)=0,"",IF(COUNTIFS(Katalog!$A$2:$A$171,A52,Katalog!$B$2:$B$171,B52,Katalog!$C$2:$C$171,C52)&gt;0,"OK","BRAK TAKIEJ PŁYTY W KATALOGU"))</x:f>
      </x:c>
    </x:row>
    <x:row r="53" ht="22" customHeight="1">
      <x:c r="A53" s="44"/>
      <x:c r="B53" s="44"/>
      <x:c r="C53" s="44"/>
      <x:c r="D53" s="44"/>
      <x:c r="E53" s="44"/>
      <x:c r="F53" s="44"/>
      <x:c r="G53" s="44"/>
      <x:c r="H53" s="44"/>
      <x:c r="I53" s="47" t="str">
        <x:f>IF(COUNTA(A53:H53)=0,"",IF(COUNTIFS(Katalog!$A$2:$A$171,A53,Katalog!$B$2:$B$171,B53,Katalog!$C$2:$C$171,C53)&gt;0,"OK","BRAK TAKIEJ PŁYTY W KATALOGU"))</x:f>
      </x:c>
    </x:row>
    <x:row r="54" ht="22" customHeight="1">
      <x:c r="A54" s="44"/>
      <x:c r="B54" s="44"/>
      <x:c r="C54" s="44"/>
      <x:c r="D54" s="44"/>
      <x:c r="E54" s="44"/>
      <x:c r="F54" s="44"/>
      <x:c r="G54" s="44"/>
      <x:c r="H54" s="44"/>
      <x:c r="I54" s="47" t="str">
        <x:f>IF(COUNTA(A54:H54)=0,"",IF(COUNTIFS(Katalog!$A$2:$A$171,A54,Katalog!$B$2:$B$171,B54,Katalog!$C$2:$C$171,C54)&gt;0,"OK","BRAK TAKIEJ PŁYTY W KATALOGU"))</x:f>
      </x:c>
    </x:row>
    <x:row r="55" ht="22" customHeight="1">
      <x:c r="A55" s="44"/>
      <x:c r="B55" s="44"/>
      <x:c r="C55" s="44"/>
      <x:c r="D55" s="44"/>
      <x:c r="E55" s="44"/>
      <x:c r="F55" s="44"/>
      <x:c r="G55" s="44"/>
      <x:c r="H55" s="44"/>
      <x:c r="I55" s="47" t="str">
        <x:f>IF(COUNTA(A55:H55)=0,"",IF(COUNTIFS(Katalog!$A$2:$A$171,A55,Katalog!$B$2:$B$171,B55,Katalog!$C$2:$C$171,C55)&gt;0,"OK","BRAK TAKIEJ PŁYTY W KATALOGU"))</x:f>
      </x:c>
    </x:row>
    <x:row r="56" ht="22" customHeight="1">
      <x:c r="A56" s="44"/>
      <x:c r="B56" s="44"/>
      <x:c r="C56" s="44"/>
      <x:c r="D56" s="44"/>
      <x:c r="E56" s="44"/>
      <x:c r="F56" s="44"/>
      <x:c r="G56" s="44"/>
      <x:c r="H56" s="44"/>
      <x:c r="I56" s="47" t="str">
        <x:f>IF(COUNTA(A56:H56)=0,"",IF(COUNTIFS(Katalog!$A$2:$A$171,A56,Katalog!$B$2:$B$171,B56,Katalog!$C$2:$C$171,C56)&gt;0,"OK","BRAK TAKIEJ PŁYTY W KATALOGU"))</x:f>
      </x:c>
    </x:row>
    <x:row r="57" ht="22" customHeight="1">
      <x:c r="A57" s="44"/>
      <x:c r="B57" s="44"/>
      <x:c r="C57" s="44"/>
      <x:c r="D57" s="44"/>
      <x:c r="E57" s="44"/>
      <x:c r="F57" s="44"/>
      <x:c r="G57" s="44"/>
      <x:c r="H57" s="44"/>
      <x:c r="I57" s="47" t="str">
        <x:f>IF(COUNTA(A57:H57)=0,"",IF(COUNTIFS(Katalog!$A$2:$A$171,A57,Katalog!$B$2:$B$171,B57,Katalog!$C$2:$C$171,C57)&gt;0,"OK","BRAK TAKIEJ PŁYTY W KATALOGU"))</x:f>
      </x:c>
    </x:row>
    <x:row r="58" ht="22" customHeight="1">
      <x:c r="A58" s="44"/>
      <x:c r="B58" s="44"/>
      <x:c r="C58" s="44"/>
      <x:c r="D58" s="44"/>
      <x:c r="E58" s="44"/>
      <x:c r="F58" s="44"/>
      <x:c r="G58" s="44"/>
      <x:c r="H58" s="44"/>
      <x:c r="I58" s="47" t="str">
        <x:f>IF(COUNTA(A58:H58)=0,"",IF(COUNTIFS(Katalog!$A$2:$A$171,A58,Katalog!$B$2:$B$171,B58,Katalog!$C$2:$C$171,C58)&gt;0,"OK","BRAK TAKIEJ PŁYTY W KATALOGU"))</x:f>
      </x:c>
    </x:row>
    <x:row r="59" ht="22" customHeight="1">
      <x:c r="A59" s="44"/>
      <x:c r="B59" s="44"/>
      <x:c r="C59" s="44"/>
      <x:c r="D59" s="44"/>
      <x:c r="E59" s="44"/>
      <x:c r="F59" s="44"/>
      <x:c r="G59" s="44"/>
      <x:c r="H59" s="44"/>
      <x:c r="I59" s="47" t="str">
        <x:f>IF(COUNTA(A59:H59)=0,"",IF(COUNTIFS(Katalog!$A$2:$A$171,A59,Katalog!$B$2:$B$171,B59,Katalog!$C$2:$C$171,C59)&gt;0,"OK","BRAK TAKIEJ PŁYTY W KATALOGU"))</x:f>
      </x:c>
    </x:row>
    <x:row r="60" ht="22" customHeight="1">
      <x:c r="A60" s="44"/>
      <x:c r="B60" s="44"/>
      <x:c r="C60" s="44"/>
      <x:c r="D60" s="44"/>
      <x:c r="E60" s="44"/>
      <x:c r="F60" s="44"/>
      <x:c r="G60" s="44"/>
      <x:c r="H60" s="44"/>
      <x:c r="I60" s="47" t="str">
        <x:f>IF(COUNTA(A60:H60)=0,"",IF(COUNTIFS(Katalog!$A$2:$A$171,A60,Katalog!$B$2:$B$171,B60,Katalog!$C$2:$C$171,C60)&gt;0,"OK","BRAK TAKIEJ PŁYTY W KATALOGU"))</x:f>
      </x:c>
    </x:row>
    <x:row r="61" ht="22" customHeight="1">
      <x:c r="A61" s="44"/>
      <x:c r="B61" s="44"/>
      <x:c r="C61" s="44"/>
      <x:c r="D61" s="44"/>
      <x:c r="E61" s="44"/>
      <x:c r="F61" s="44"/>
      <x:c r="G61" s="44"/>
      <x:c r="H61" s="44"/>
      <x:c r="I61" s="47" t="str">
        <x:f>IF(COUNTA(A61:H61)=0,"",IF(COUNTIFS(Katalog!$A$2:$A$171,A61,Katalog!$B$2:$B$171,B61,Katalog!$C$2:$C$171,C61)&gt;0,"OK","BRAK TAKIEJ PŁYTY W KATALOGU"))</x:f>
      </x:c>
    </x:row>
    <x:row r="62" ht="22" customHeight="1">
      <x:c r="A62" s="44"/>
      <x:c r="B62" s="44"/>
      <x:c r="C62" s="44"/>
      <x:c r="D62" s="44"/>
      <x:c r="E62" s="44"/>
      <x:c r="F62" s="44"/>
      <x:c r="G62" s="44"/>
      <x:c r="H62" s="44"/>
      <x:c r="I62" s="47" t="str">
        <x:f>IF(COUNTA(A62:H62)=0,"",IF(COUNTIFS(Katalog!$A$2:$A$171,A62,Katalog!$B$2:$B$171,B62,Katalog!$C$2:$C$171,C62)&gt;0,"OK","BRAK TAKIEJ PŁYTY W KATALOGU"))</x:f>
      </x:c>
    </x:row>
    <x:row r="63" ht="22" customHeight="1">
      <x:c r="A63" s="44"/>
      <x:c r="B63" s="44"/>
      <x:c r="C63" s="44"/>
      <x:c r="D63" s="44"/>
      <x:c r="E63" s="44"/>
      <x:c r="F63" s="44"/>
      <x:c r="G63" s="44"/>
      <x:c r="H63" s="44"/>
      <x:c r="I63" s="47" t="str">
        <x:f>IF(COUNTA(A63:H63)=0,"",IF(COUNTIFS(Katalog!$A$2:$A$171,A63,Katalog!$B$2:$B$171,B63,Katalog!$C$2:$C$171,C63)&gt;0,"OK","BRAK TAKIEJ PŁYTY W KATALOGU"))</x:f>
      </x:c>
    </x:row>
    <x:row r="64" ht="22" customHeight="1">
      <x:c r="A64" s="44"/>
      <x:c r="B64" s="44"/>
      <x:c r="C64" s="44"/>
      <x:c r="D64" s="44"/>
      <x:c r="E64" s="44"/>
      <x:c r="F64" s="44"/>
      <x:c r="G64" s="44"/>
      <x:c r="H64" s="44"/>
      <x:c r="I64" s="47" t="str">
        <x:f>IF(COUNTA(A64:H64)=0,"",IF(COUNTIFS(Katalog!$A$2:$A$171,A64,Katalog!$B$2:$B$171,B64,Katalog!$C$2:$C$171,C64)&gt;0,"OK","BRAK TAKIEJ PŁYTY W KATALOGU"))</x:f>
      </x:c>
    </x:row>
    <x:row r="65" ht="22" customHeight="1">
      <x:c r="A65" s="44"/>
      <x:c r="B65" s="44"/>
      <x:c r="C65" s="44"/>
      <x:c r="D65" s="44"/>
      <x:c r="E65" s="44"/>
      <x:c r="F65" s="44"/>
      <x:c r="G65" s="44"/>
      <x:c r="H65" s="44"/>
      <x:c r="I65" s="47" t="str">
        <x:f>IF(COUNTA(A65:H65)=0,"",IF(COUNTIFS(Katalog!$A$2:$A$171,A65,Katalog!$B$2:$B$171,B65,Katalog!$C$2:$C$171,C65)&gt;0,"OK","BRAK TAKIEJ PŁYTY W KATALOGU"))</x:f>
      </x:c>
    </x:row>
    <x:row r="66" ht="22" customHeight="1">
      <x:c r="A66" s="44"/>
      <x:c r="B66" s="44"/>
      <x:c r="C66" s="44"/>
      <x:c r="D66" s="44"/>
      <x:c r="E66" s="44"/>
      <x:c r="F66" s="44"/>
      <x:c r="G66" s="44"/>
      <x:c r="H66" s="44"/>
      <x:c r="I66" s="47" t="str">
        <x:f>IF(COUNTA(A66:H66)=0,"",IF(COUNTIFS(Katalog!$A$2:$A$171,A66,Katalog!$B$2:$B$171,B66,Katalog!$C$2:$C$171,C66)&gt;0,"OK","BRAK TAKIEJ PŁYTY W KATALOGU"))</x:f>
      </x:c>
    </x:row>
    <x:row r="67" ht="22" customHeight="1">
      <x:c r="A67" s="44"/>
      <x:c r="B67" s="44"/>
      <x:c r="C67" s="44"/>
      <x:c r="D67" s="44"/>
      <x:c r="E67" s="44"/>
      <x:c r="F67" s="44"/>
      <x:c r="G67" s="44"/>
      <x:c r="H67" s="44"/>
      <x:c r="I67" s="47" t="str">
        <x:f>IF(COUNTA(A67:H67)=0,"",IF(COUNTIFS(Katalog!$A$2:$A$171,A67,Katalog!$B$2:$B$171,B67,Katalog!$C$2:$C$171,C67)&gt;0,"OK","BRAK TAKIEJ PŁYTY W KATALOGU"))</x:f>
      </x:c>
    </x:row>
    <x:row r="68" ht="22" customHeight="1">
      <x:c r="A68" s="44"/>
      <x:c r="B68" s="44"/>
      <x:c r="C68" s="44"/>
      <x:c r="D68" s="44"/>
      <x:c r="E68" s="44"/>
      <x:c r="F68" s="44"/>
      <x:c r="G68" s="44"/>
      <x:c r="H68" s="44"/>
      <x:c r="I68" s="47" t="str">
        <x:f>IF(COUNTA(A68:H68)=0,"",IF(COUNTIFS(Katalog!$A$2:$A$171,A68,Katalog!$B$2:$B$171,B68,Katalog!$C$2:$C$171,C68)&gt;0,"OK","BRAK TAKIEJ PŁYTY W KATALOGU"))</x:f>
      </x:c>
    </x:row>
    <x:row r="69" ht="22" customHeight="1">
      <x:c r="A69" s="44"/>
      <x:c r="B69" s="44"/>
      <x:c r="C69" s="44"/>
      <x:c r="D69" s="44"/>
      <x:c r="E69" s="44"/>
      <x:c r="F69" s="44"/>
      <x:c r="G69" s="44"/>
      <x:c r="H69" s="44"/>
      <x:c r="I69" s="47" t="str">
        <x:f>IF(COUNTA(A69:H69)=0,"",IF(COUNTIFS(Katalog!$A$2:$A$171,A69,Katalog!$B$2:$B$171,B69,Katalog!$C$2:$C$171,C69)&gt;0,"OK","BRAK TAKIEJ PŁYTY W KATALOGU"))</x:f>
      </x:c>
    </x:row>
    <x:row r="70" ht="22" customHeight="1">
      <x:c r="A70" s="44"/>
      <x:c r="B70" s="44"/>
      <x:c r="C70" s="44"/>
      <x:c r="D70" s="44"/>
      <x:c r="E70" s="44"/>
      <x:c r="F70" s="44"/>
      <x:c r="G70" s="44"/>
      <x:c r="H70" s="44"/>
      <x:c r="I70" s="47" t="str">
        <x:f>IF(COUNTA(A70:H70)=0,"",IF(COUNTIFS(Katalog!$A$2:$A$171,A70,Katalog!$B$2:$B$171,B70,Katalog!$C$2:$C$171,C70)&gt;0,"OK","BRAK TAKIEJ PŁYTY W KATALOGU"))</x:f>
      </x:c>
    </x:row>
    <x:row r="71" ht="22" customHeight="1">
      <x:c r="A71" s="44"/>
      <x:c r="B71" s="44"/>
      <x:c r="C71" s="44"/>
      <x:c r="D71" s="44"/>
      <x:c r="E71" s="44"/>
      <x:c r="F71" s="44"/>
      <x:c r="G71" s="44"/>
      <x:c r="H71" s="44"/>
      <x:c r="I71" s="47" t="str">
        <x:f>IF(COUNTA(A71:H71)=0,"",IF(COUNTIFS(Katalog!$A$2:$A$171,A71,Katalog!$B$2:$B$171,B71,Katalog!$C$2:$C$171,C71)&gt;0,"OK","BRAK TAKIEJ PŁYTY W KATALOGU"))</x:f>
      </x:c>
    </x:row>
    <x:row r="72" ht="22" customHeight="1">
      <x:c r="A72" s="44"/>
      <x:c r="B72" s="44"/>
      <x:c r="C72" s="44"/>
      <x:c r="D72" s="44"/>
      <x:c r="E72" s="44"/>
      <x:c r="F72" s="44"/>
      <x:c r="G72" s="44"/>
      <x:c r="H72" s="44"/>
      <x:c r="I72" s="47" t="str">
        <x:f>IF(COUNTA(A72:H72)=0,"",IF(COUNTIFS(Katalog!$A$2:$A$171,A72,Katalog!$B$2:$B$171,B72,Katalog!$C$2:$C$171,C72)&gt;0,"OK","BRAK TAKIEJ PŁYTY W KATALOGU"))</x:f>
      </x:c>
    </x:row>
    <x:row r="73" ht="22" customHeight="1">
      <x:c r="A73" s="44"/>
      <x:c r="B73" s="44"/>
      <x:c r="C73" s="44"/>
      <x:c r="D73" s="44"/>
      <x:c r="E73" s="44"/>
      <x:c r="F73" s="44"/>
      <x:c r="G73" s="44"/>
      <x:c r="H73" s="44"/>
      <x:c r="I73" s="47" t="str">
        <x:f>IF(COUNTA(A73:H73)=0,"",IF(COUNTIFS(Katalog!$A$2:$A$171,A73,Katalog!$B$2:$B$171,B73,Katalog!$C$2:$C$171,C73)&gt;0,"OK","BRAK TAKIEJ PŁYTY W KATALOGU"))</x:f>
      </x:c>
    </x:row>
    <x:row r="74" ht="22" customHeight="1">
      <x:c r="A74" s="44"/>
      <x:c r="B74" s="44"/>
      <x:c r="C74" s="44"/>
      <x:c r="D74" s="44"/>
      <x:c r="E74" s="44"/>
      <x:c r="F74" s="44"/>
      <x:c r="G74" s="44"/>
      <x:c r="H74" s="44"/>
      <x:c r="I74" s="47" t="str">
        <x:f>IF(COUNTA(A74:H74)=0,"",IF(COUNTIFS(Katalog!$A$2:$A$171,A74,Katalog!$B$2:$B$171,B74,Katalog!$C$2:$C$171,C74)&gt;0,"OK","BRAK TAKIEJ PŁYTY W KATALOGU"))</x:f>
      </x:c>
    </x:row>
    <x:row r="75" ht="22" customHeight="1">
      <x:c r="A75" s="44"/>
      <x:c r="B75" s="44"/>
      <x:c r="C75" s="44"/>
      <x:c r="D75" s="44"/>
      <x:c r="E75" s="44"/>
      <x:c r="F75" s="44"/>
      <x:c r="G75" s="44"/>
      <x:c r="H75" s="44"/>
      <x:c r="I75" s="47" t="str">
        <x:f>IF(COUNTA(A75:H75)=0,"",IF(COUNTIFS(Katalog!$A$2:$A$171,A75,Katalog!$B$2:$B$171,B75,Katalog!$C$2:$C$171,C75)&gt;0,"OK","BRAK TAKIEJ PŁYTY W KATALOGU"))</x:f>
      </x:c>
    </x:row>
    <x:row r="76" ht="22" customHeight="1">
      <x:c r="A76" s="44"/>
      <x:c r="B76" s="44"/>
      <x:c r="C76" s="44"/>
      <x:c r="D76" s="44"/>
      <x:c r="E76" s="44"/>
      <x:c r="F76" s="44"/>
      <x:c r="G76" s="44"/>
      <x:c r="H76" s="44"/>
      <x:c r="I76" s="47" t="str">
        <x:f>IF(COUNTA(A76:H76)=0,"",IF(COUNTIFS(Katalog!$A$2:$A$171,A76,Katalog!$B$2:$B$171,B76,Katalog!$C$2:$C$171,C76)&gt;0,"OK","BRAK TAKIEJ PŁYTY W KATALOGU"))</x:f>
      </x:c>
    </x:row>
    <x:row r="77" ht="22" customHeight="1">
      <x:c r="A77" s="44"/>
      <x:c r="B77" s="44"/>
      <x:c r="C77" s="44"/>
      <x:c r="D77" s="44"/>
      <x:c r="E77" s="44"/>
      <x:c r="F77" s="44"/>
      <x:c r="G77" s="44"/>
      <x:c r="H77" s="44"/>
      <x:c r="I77" s="47" t="str">
        <x:f>IF(COUNTA(A77:H77)=0,"",IF(COUNTIFS(Katalog!$A$2:$A$171,A77,Katalog!$B$2:$B$171,B77,Katalog!$C$2:$C$171,C77)&gt;0,"OK","BRAK TAKIEJ PŁYTY W KATALOGU"))</x:f>
      </x:c>
    </x:row>
    <x:row r="78" ht="22" customHeight="1">
      <x:c r="A78" s="44"/>
      <x:c r="B78" s="44"/>
      <x:c r="C78" s="44"/>
      <x:c r="D78" s="44"/>
      <x:c r="E78" s="44"/>
      <x:c r="F78" s="44"/>
      <x:c r="G78" s="44"/>
      <x:c r="H78" s="44"/>
      <x:c r="I78" s="47" t="str">
        <x:f>IF(COUNTA(A78:H78)=0,"",IF(COUNTIFS(Katalog!$A$2:$A$171,A78,Katalog!$B$2:$B$171,B78,Katalog!$C$2:$C$171,C78)&gt;0,"OK","BRAK TAKIEJ PŁYTY W KATALOGU"))</x:f>
      </x:c>
    </x:row>
    <x:row r="79" ht="22" customHeight="1">
      <x:c r="A79" s="44"/>
      <x:c r="B79" s="44"/>
      <x:c r="C79" s="44"/>
      <x:c r="D79" s="44"/>
      <x:c r="E79" s="44"/>
      <x:c r="F79" s="44"/>
      <x:c r="G79" s="44"/>
      <x:c r="H79" s="44"/>
      <x:c r="I79" s="47" t="str">
        <x:f>IF(COUNTA(A79:H79)=0,"",IF(COUNTIFS(Katalog!$A$2:$A$171,A79,Katalog!$B$2:$B$171,B79,Katalog!$C$2:$C$171,C79)&gt;0,"OK","BRAK TAKIEJ PŁYTY W KATALOGU"))</x:f>
      </x:c>
    </x:row>
    <x:row r="80" ht="22" customHeight="1">
      <x:c r="A80" s="44"/>
      <x:c r="B80" s="44"/>
      <x:c r="C80" s="44"/>
      <x:c r="D80" s="44"/>
      <x:c r="E80" s="44"/>
      <x:c r="F80" s="44"/>
      <x:c r="G80" s="44"/>
      <x:c r="H80" s="44"/>
      <x:c r="I80" s="47" t="str">
        <x:f>IF(COUNTA(A80:H80)=0,"",IF(COUNTIFS(Katalog!$A$2:$A$171,A80,Katalog!$B$2:$B$171,B80,Katalog!$C$2:$C$171,C80)&gt;0,"OK","BRAK TAKIEJ PŁYTY W KATALOGU"))</x:f>
      </x:c>
    </x:row>
    <x:row r="81" ht="22" customHeight="1">
      <x:c r="A81" s="44"/>
      <x:c r="B81" s="44"/>
      <x:c r="C81" s="44"/>
      <x:c r="D81" s="44"/>
      <x:c r="E81" s="44"/>
      <x:c r="F81" s="44"/>
      <x:c r="G81" s="44"/>
      <x:c r="H81" s="44"/>
      <x:c r="I81" s="47" t="str">
        <x:f>IF(COUNTA(A81:H81)=0,"",IF(COUNTIFS(Katalog!$A$2:$A$171,A81,Katalog!$B$2:$B$171,B81,Katalog!$C$2:$C$171,C81)&gt;0,"OK","BRAK TAKIEJ PŁYTY W KATALOGU"))</x:f>
      </x:c>
    </x:row>
    <x:row r="82" ht="22" customHeight="1">
      <x:c r="A82" s="44"/>
      <x:c r="B82" s="44"/>
      <x:c r="C82" s="44"/>
      <x:c r="D82" s="44"/>
      <x:c r="E82" s="44"/>
      <x:c r="F82" s="44"/>
      <x:c r="G82" s="44"/>
      <x:c r="H82" s="44"/>
      <x:c r="I82" s="47" t="str">
        <x:f>IF(COUNTA(A82:H82)=0,"",IF(COUNTIFS(Katalog!$A$2:$A$171,A82,Katalog!$B$2:$B$171,B82,Katalog!$C$2:$C$171,C82)&gt;0,"OK","BRAK TAKIEJ PŁYTY W KATALOGU"))</x:f>
      </x:c>
    </x:row>
    <x:row r="83" ht="22" customHeight="1">
      <x:c r="A83" s="44"/>
      <x:c r="B83" s="44"/>
      <x:c r="C83" s="44"/>
      <x:c r="D83" s="44"/>
      <x:c r="E83" s="44"/>
      <x:c r="F83" s="44"/>
      <x:c r="G83" s="44"/>
      <x:c r="H83" s="44"/>
      <x:c r="I83" s="47" t="str">
        <x:f>IF(COUNTA(A83:H83)=0,"",IF(COUNTIFS(Katalog!$A$2:$A$171,A83,Katalog!$B$2:$B$171,B83,Katalog!$C$2:$C$171,C83)&gt;0,"OK","BRAK TAKIEJ PŁYTY W KATALOGU"))</x:f>
      </x:c>
    </x:row>
    <x:row r="84" ht="22" customHeight="1">
      <x:c r="A84" s="44"/>
      <x:c r="B84" s="44"/>
      <x:c r="C84" s="44"/>
      <x:c r="D84" s="44"/>
      <x:c r="E84" s="44"/>
      <x:c r="F84" s="44"/>
      <x:c r="G84" s="44"/>
      <x:c r="H84" s="44"/>
      <x:c r="I84" s="47" t="str">
        <x:f>IF(COUNTA(A84:H84)=0,"",IF(COUNTIFS(Katalog!$A$2:$A$171,A84,Katalog!$B$2:$B$171,B84,Katalog!$C$2:$C$171,C84)&gt;0,"OK","BRAK TAKIEJ PŁYTY W KATALOGU"))</x:f>
      </x:c>
    </x:row>
    <x:row r="85" ht="22" customHeight="1">
      <x:c r="A85" s="44"/>
      <x:c r="B85" s="44"/>
      <x:c r="C85" s="44"/>
      <x:c r="D85" s="44"/>
      <x:c r="E85" s="44"/>
      <x:c r="F85" s="44"/>
      <x:c r="G85" s="44"/>
      <x:c r="H85" s="44"/>
      <x:c r="I85" s="47" t="str">
        <x:f>IF(COUNTA(A85:H85)=0,"",IF(COUNTIFS(Katalog!$A$2:$A$171,A85,Katalog!$B$2:$B$171,B85,Katalog!$C$2:$C$171,C85)&gt;0,"OK","BRAK TAKIEJ PŁYTY W KATALOGU"))</x:f>
      </x:c>
    </x:row>
    <x:row r="86" ht="22" customHeight="1">
      <x:c r="A86" s="44"/>
      <x:c r="B86" s="44"/>
      <x:c r="C86" s="44"/>
      <x:c r="D86" s="44"/>
      <x:c r="E86" s="44"/>
      <x:c r="F86" s="44"/>
      <x:c r="G86" s="44"/>
      <x:c r="H86" s="44"/>
      <x:c r="I86" s="47" t="str">
        <x:f>IF(COUNTA(A86:H86)=0,"",IF(COUNTIFS(Katalog!$A$2:$A$171,A86,Katalog!$B$2:$B$171,B86,Katalog!$C$2:$C$171,C86)&gt;0,"OK","BRAK TAKIEJ PŁYTY W KATALOGU"))</x:f>
      </x:c>
    </x:row>
    <x:row r="87" ht="22" customHeight="1">
      <x:c r="A87" s="44"/>
      <x:c r="B87" s="44"/>
      <x:c r="C87" s="44"/>
      <x:c r="D87" s="44"/>
      <x:c r="E87" s="44"/>
      <x:c r="F87" s="44"/>
      <x:c r="G87" s="44"/>
      <x:c r="H87" s="44"/>
      <x:c r="I87" s="47" t="str">
        <x:f>IF(COUNTA(A87:H87)=0,"",IF(COUNTIFS(Katalog!$A$2:$A$171,A87,Katalog!$B$2:$B$171,B87,Katalog!$C$2:$C$171,C87)&gt;0,"OK","BRAK TAKIEJ PŁYTY W KATALOGU"))</x:f>
      </x:c>
    </x:row>
    <x:row r="88" ht="22" customHeight="1">
      <x:c r="A88" s="44"/>
      <x:c r="B88" s="44"/>
      <x:c r="C88" s="44"/>
      <x:c r="D88" s="44"/>
      <x:c r="E88" s="44"/>
      <x:c r="F88" s="44"/>
      <x:c r="G88" s="44"/>
      <x:c r="H88" s="44"/>
      <x:c r="I88" s="47" t="str">
        <x:f>IF(COUNTA(A88:H88)=0,"",IF(COUNTIFS(Katalog!$A$2:$A$171,A88,Katalog!$B$2:$B$171,B88,Katalog!$C$2:$C$171,C88)&gt;0,"OK","BRAK TAKIEJ PŁYTY W KATALOGU"))</x:f>
      </x:c>
    </x:row>
    <x:row r="89" ht="22" customHeight="1">
      <x:c r="A89" s="44"/>
      <x:c r="B89" s="44"/>
      <x:c r="C89" s="44"/>
      <x:c r="D89" s="44"/>
      <x:c r="E89" s="44"/>
      <x:c r="F89" s="44"/>
      <x:c r="G89" s="44"/>
      <x:c r="H89" s="44"/>
      <x:c r="I89" s="47" t="str">
        <x:f>IF(COUNTA(A89:H89)=0,"",IF(COUNTIFS(Katalog!$A$2:$A$171,A89,Katalog!$B$2:$B$171,B89,Katalog!$C$2:$C$171,C89)&gt;0,"OK","BRAK TAKIEJ PŁYTY W KATALOGU"))</x:f>
      </x:c>
    </x:row>
    <x:row r="90" ht="22" customHeight="1">
      <x:c r="A90" s="44"/>
      <x:c r="B90" s="44"/>
      <x:c r="C90" s="44"/>
      <x:c r="D90" s="44"/>
      <x:c r="E90" s="44"/>
      <x:c r="F90" s="44"/>
      <x:c r="G90" s="44"/>
      <x:c r="H90" s="44"/>
      <x:c r="I90" s="47" t="str">
        <x:f>IF(COUNTA(A90:H90)=0,"",IF(COUNTIFS(Katalog!$A$2:$A$171,A90,Katalog!$B$2:$B$171,B90,Katalog!$C$2:$C$171,C90)&gt;0,"OK","BRAK TAKIEJ PŁYTY W KATALOGU"))</x:f>
      </x:c>
    </x:row>
    <x:row r="91" ht="22" customHeight="1">
      <x:c r="A91" s="44"/>
      <x:c r="B91" s="44"/>
      <x:c r="C91" s="44"/>
      <x:c r="D91" s="44"/>
      <x:c r="E91" s="44"/>
      <x:c r="F91" s="44"/>
      <x:c r="G91" s="44"/>
      <x:c r="H91" s="44"/>
      <x:c r="I91" s="47" t="str">
        <x:f>IF(COUNTA(A91:H91)=0,"",IF(COUNTIFS(Katalog!$A$2:$A$171,A91,Katalog!$B$2:$B$171,B91,Katalog!$C$2:$C$171,C91)&gt;0,"OK","BRAK TAKIEJ PŁYTY W KATALOGU"))</x:f>
      </x:c>
    </x:row>
    <x:row r="92" ht="22" customHeight="1">
      <x:c r="A92" s="44"/>
      <x:c r="B92" s="44"/>
      <x:c r="C92" s="44"/>
      <x:c r="D92" s="44"/>
      <x:c r="E92" s="44"/>
      <x:c r="F92" s="44"/>
      <x:c r="G92" s="44"/>
      <x:c r="H92" s="44"/>
      <x:c r="I92" s="47" t="str">
        <x:f>IF(COUNTA(A92:H92)=0,"",IF(COUNTIFS(Katalog!$A$2:$A$171,A92,Katalog!$B$2:$B$171,B92,Katalog!$C$2:$C$171,C92)&gt;0,"OK","BRAK TAKIEJ PŁYTY W KATALOGU"))</x:f>
      </x:c>
    </x:row>
    <x:row r="93" ht="22" customHeight="1">
      <x:c r="A93" s="44"/>
      <x:c r="B93" s="44"/>
      <x:c r="C93" s="44"/>
      <x:c r="D93" s="44"/>
      <x:c r="E93" s="44"/>
      <x:c r="F93" s="44"/>
      <x:c r="G93" s="44"/>
      <x:c r="H93" s="44"/>
      <x:c r="I93" s="47" t="str">
        <x:f>IF(COUNTA(A93:H93)=0,"",IF(COUNTIFS(Katalog!$A$2:$A$171,A93,Katalog!$B$2:$B$171,B93,Katalog!$C$2:$C$171,C93)&gt;0,"OK","BRAK TAKIEJ PŁYTY W KATALOGU"))</x:f>
      </x:c>
    </x:row>
    <x:row r="94" ht="22" customHeight="1">
      <x:c r="A94" s="44"/>
      <x:c r="B94" s="44"/>
      <x:c r="C94" s="44"/>
      <x:c r="D94" s="44"/>
      <x:c r="E94" s="44"/>
      <x:c r="F94" s="44"/>
      <x:c r="G94" s="44"/>
      <x:c r="H94" s="44"/>
      <x:c r="I94" s="47" t="str">
        <x:f>IF(COUNTA(A94:H94)=0,"",IF(COUNTIFS(Katalog!$A$2:$A$171,A94,Katalog!$B$2:$B$171,B94,Katalog!$C$2:$C$171,C94)&gt;0,"OK","BRAK TAKIEJ PŁYTY W KATALOGU"))</x:f>
      </x:c>
    </x:row>
    <x:row r="95" ht="22" customHeight="1">
      <x:c r="A95" s="44"/>
      <x:c r="B95" s="44"/>
      <x:c r="C95" s="44"/>
      <x:c r="D95" s="44"/>
      <x:c r="E95" s="44"/>
      <x:c r="F95" s="44"/>
      <x:c r="G95" s="44"/>
      <x:c r="H95" s="44"/>
      <x:c r="I95" s="47" t="str">
        <x:f>IF(COUNTA(A95:H95)=0,"",IF(COUNTIFS(Katalog!$A$2:$A$171,A95,Katalog!$B$2:$B$171,B95,Katalog!$C$2:$C$171,C95)&gt;0,"OK","BRAK TAKIEJ PŁYTY W KATALOGU"))</x:f>
      </x:c>
    </x:row>
    <x:row r="96" ht="22" customHeight="1">
      <x:c r="A96" s="44"/>
      <x:c r="B96" s="44"/>
      <x:c r="C96" s="44"/>
      <x:c r="D96" s="44"/>
      <x:c r="E96" s="44"/>
      <x:c r="F96" s="44"/>
      <x:c r="G96" s="44"/>
      <x:c r="H96" s="44"/>
      <x:c r="I96" s="47" t="str">
        <x:f>IF(COUNTA(A96:H96)=0,"",IF(COUNTIFS(Katalog!$A$2:$A$171,A96,Katalog!$B$2:$B$171,B96,Katalog!$C$2:$C$171,C96)&gt;0,"OK","BRAK TAKIEJ PŁYTY W KATALOGU"))</x:f>
      </x:c>
    </x:row>
    <x:row r="97" ht="22" customHeight="1">
      <x:c r="A97" s="44"/>
      <x:c r="B97" s="44"/>
      <x:c r="C97" s="44"/>
      <x:c r="D97" s="44"/>
      <x:c r="E97" s="44"/>
      <x:c r="F97" s="44"/>
      <x:c r="G97" s="44"/>
      <x:c r="H97" s="44"/>
      <x:c r="I97" s="47" t="str">
        <x:f>IF(COUNTA(A97:H97)=0,"",IF(COUNTIFS(Katalog!$A$2:$A$171,A97,Katalog!$B$2:$B$171,B97,Katalog!$C$2:$C$171,C97)&gt;0,"OK","BRAK TAKIEJ PŁYTY W KATALOGU"))</x:f>
      </x:c>
    </x:row>
    <x:row r="98" ht="22" customHeight="1">
      <x:c r="A98" s="44"/>
      <x:c r="B98" s="44"/>
      <x:c r="C98" s="44"/>
      <x:c r="D98" s="44"/>
      <x:c r="E98" s="44"/>
      <x:c r="F98" s="44"/>
      <x:c r="G98" s="44"/>
      <x:c r="H98" s="44"/>
      <x:c r="I98" s="47" t="str">
        <x:f>IF(COUNTA(A98:H98)=0,"",IF(COUNTIFS(Katalog!$A$2:$A$171,A98,Katalog!$B$2:$B$171,B98,Katalog!$C$2:$C$171,C98)&gt;0,"OK","BRAK TAKIEJ PŁYTY W KATALOGU"))</x:f>
      </x:c>
    </x:row>
    <x:row r="99" ht="22" customHeight="1">
      <x:c r="A99" s="44"/>
      <x:c r="B99" s="44"/>
      <x:c r="C99" s="44"/>
      <x:c r="D99" s="44"/>
      <x:c r="E99" s="44"/>
      <x:c r="F99" s="44"/>
      <x:c r="G99" s="44"/>
      <x:c r="H99" s="44"/>
      <x:c r="I99" s="47" t="str">
        <x:f>IF(COUNTA(A99:H99)=0,"",IF(COUNTIFS(Katalog!$A$2:$A$171,A99,Katalog!$B$2:$B$171,B99,Katalog!$C$2:$C$171,C99)&gt;0,"OK","BRAK TAKIEJ PŁYTY W KATALOGU"))</x:f>
      </x:c>
    </x:row>
    <x:row r="100" ht="22" customHeight="1">
      <x:c r="A100" s="44"/>
      <x:c r="B100" s="44"/>
      <x:c r="C100" s="44"/>
      <x:c r="D100" s="44"/>
      <x:c r="E100" s="44"/>
      <x:c r="F100" s="44"/>
      <x:c r="G100" s="44"/>
      <x:c r="H100" s="44"/>
      <x:c r="I100" s="47" t="str">
        <x:f>IF(COUNTA(A100:H100)=0,"",IF(COUNTIFS(Katalog!$A$2:$A$171,A100,Katalog!$B$2:$B$171,B100,Katalog!$C$2:$C$171,C100)&gt;0,"OK","BRAK TAKIEJ PŁYTY W KATALOGU"))</x:f>
      </x:c>
    </x:row>
    <x:row r="101" ht="22" customHeight="1">
      <x:c r="A101" s="44"/>
      <x:c r="B101" s="44"/>
      <x:c r="C101" s="44"/>
      <x:c r="D101" s="44"/>
      <x:c r="E101" s="44"/>
      <x:c r="F101" s="44"/>
      <x:c r="G101" s="44"/>
      <x:c r="H101" s="44"/>
      <x:c r="I101" s="47" t="str">
        <x:f>IF(COUNTA(A101:H101)=0,"",IF(COUNTIFS(Katalog!$A$2:$A$171,A101,Katalog!$B$2:$B$171,B101,Katalog!$C$2:$C$171,C101)&gt;0,"OK","BRAK TAKIEJ PŁYTY W KATALOGU"))</x:f>
      </x:c>
    </x:row>
    <x:row r="102" ht="22" customHeight="1">
      <x:c r="A102" s="45"/>
      <x:c r="B102" s="45"/>
      <x:c r="C102" s="45"/>
      <x:c r="D102" s="45"/>
      <x:c r="E102" s="45"/>
      <x:c r="F102" s="45"/>
      <x:c r="G102" s="45"/>
      <x:c r="H102" s="45"/>
      <x:c r="I102" s="48" t="str">
        <x:f>IF(COUNTA(A102:H102)=0,"",IF(COUNTIFS(Katalog!$A$2:$A$171,A102,Katalog!$B$2:$B$171,B102,Katalog!$C$2:$C$171,C102)&gt;0,"OK","BRAK TAKIEJ PŁYTY W KATALOGU"))</x:f>
      </x:c>
    </x:row>
  </x:sheetData>
  <x:mergeCells>
    <x:mergeCell ref="A1:I1"/>
  </x:mergeCells>
  <x:conditionalFormatting sqref="I3:I102">
    <x:cfRule type="containsText" dxfId="2" priority="1" operator="containsText" text="OK"/>
    <x:cfRule type="containsText" dxfId="3" priority="2" operator="containsText" text="BRAK"/>
  </x:conditionalFormatting>
  <x:dataValidations count="8">
    <x:dataValidation type="list" sqref="A3:A102">
      <x:formula1>Katalog!$F$2:$F$21</x:formula1>
    </x:dataValidation>
    <x:dataValidation type="list" sqref="B3:B102">
      <x:formula1>Katalog!$G$2:$G$10</x:formula1>
    </x:dataValidation>
    <x:dataValidation type="list" sqref="C3:C102">
      <x:formula1>Katalog!$H$2:$H$6</x:formula1>
    </x:dataValidation>
    <x:dataValidation type="whole" operator="between" sqref="D3:D102">
      <x:formula1>1</x:formula1>
      <x:formula2>15000</x:formula2>
    </x:dataValidation>
    <x:dataValidation type="whole" operator="between" sqref="E3:E102">
      <x:formula1>1</x:formula1>
      <x:formula2>1000</x:formula2>
    </x:dataValidation>
    <x:dataValidation type="whole" operator="between" sqref="F3:F102">
      <x:formula1>0</x:formula1>
      <x:formula2>100</x:formula2>
    </x:dataValidation>
    <x:dataValidation type="list" sqref="G3:G102">
      <x:formula1>"AUTO,WZDŁUŻ WYSOKOŚCI,WZDŁUŻ SZEROKOŚCI"</x:formula1>
    </x:dataValidation>
    <x:dataValidation type="list" sqref="H3:H102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0f6d6672640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22" hidden="0" customWidth="1"/>
    <x:col min="4" max="4" width="20" hidden="0" customWidth="1"/>
    <x:col min="5" max="5" width="3" hidden="0" customWidth="1"/>
    <x:col min="6" max="6" width="34" hidden="0" customWidth="1"/>
    <x:col min="7" max="7" width="18" hidden="0" customWidth="1"/>
    <x:col min="8" max="8" width="22" hidden="0" customWidth="1"/>
  </x:cols>
  <x:sheetData>
    <x:row r="1" ht="32" customHeight="1">
      <x:c r="A1" s="37" t="str">
        <x:v>Materiał</x:v>
      </x:c>
      <x:c r="B1" s="38" t="str">
        <x:v>Grubość [mm]</x:v>
      </x:c>
      <x:c r="C1" s="38" t="str">
        <x:v>Format płyty [mm]</x:v>
      </x:c>
      <x:c r="D1" s="39" t="str">
        <x:v>Cena netto [zł/m²]</x:v>
      </x:c>
      <x:c r="E1" t="str"/>
      <x:c r="F1" s="51" t="str">
        <x:v>Lista materiałów</x:v>
      </x:c>
      <x:c r="G1" s="51" t="str">
        <x:v>Lista grubości</x:v>
      </x:c>
      <x:c r="H1" s="51" t="str">
        <x:v>Lista formatów</x:v>
      </x:c>
    </x:row>
    <x:row r="2">
      <x:c r="A2" s="53" t="str">
        <x:v>PA6 PŁYTA CZARNA</x:v>
      </x:c>
      <x:c r="B2" s="53" t="n">
        <x:v>1</x:v>
      </x:c>
      <x:c r="C2" s="53" t="str">
        <x:v>1000 × 1000</x:v>
      </x:c>
      <x:c r="D2" s="56" t="n">
        <x:v>2</x:v>
      </x:c>
      <x:c r="F2" t="str">
        <x:v>PA6 PŁYTA CZARNA</x:v>
      </x:c>
      <x:c r="G2" t="n">
        <x:v>1</x:v>
      </x:c>
      <x:c r="H2" t="str">
        <x:v>1000 × 1000</x:v>
      </x:c>
    </x:row>
    <x:row r="3">
      <x:c r="A3" s="54" t="str">
        <x:v>PA6 PŁYTA CZARNA</x:v>
      </x:c>
      <x:c r="B3" s="54" t="n">
        <x:v>1</x:v>
      </x:c>
      <x:c r="C3" s="54" t="str">
        <x:v>1000 × 2000</x:v>
      </x:c>
      <x:c r="D3" s="57" t="n">
        <x:v>16</x:v>
      </x:c>
      <x:c r="F3" t="str">
        <x:v>PA6 PŁYTA NATURALNA</x:v>
      </x:c>
      <x:c r="G3" t="n">
        <x:v>2</x:v>
      </x:c>
      <x:c r="H3" t="str">
        <x:v>1000 × 1050</x:v>
      </x:c>
    </x:row>
    <x:row r="4">
      <x:c r="A4" s="54" t="str">
        <x:v>PA6 PŁYTA CZARNA</x:v>
      </x:c>
      <x:c r="B4" s="54" t="n">
        <x:v>2</x:v>
      </x:c>
      <x:c r="C4" s="54" t="str">
        <x:v>1000 × 2050</x:v>
      </x:c>
      <x:c r="D4" s="57" t="n">
        <x:v>17</x:v>
      </x:c>
      <x:c r="F4" t="str">
        <x:v>PA6G PŁYTA CZARNA</x:v>
      </x:c>
      <x:c r="G4" t="n">
        <x:v>3</x:v>
      </x:c>
      <x:c r="H4" t="str">
        <x:v>1000 × 2000</x:v>
      </x:c>
    </x:row>
    <x:row r="5">
      <x:c r="A5" s="54" t="str">
        <x:v>PA6 PŁYTA CZARNA</x:v>
      </x:c>
      <x:c r="B5" s="54" t="n">
        <x:v>3</x:v>
      </x:c>
      <x:c r="C5" s="54" t="str">
        <x:v>1000 × 1000</x:v>
      </x:c>
      <x:c r="D5" s="57" t="n">
        <x:v>5</x:v>
      </x:c>
      <x:c r="F5" t="str">
        <x:v>PA6G PŁYTA NATURALNA</x:v>
      </x:c>
      <x:c r="G5" t="n">
        <x:v>4</x:v>
      </x:c>
      <x:c r="H5" t="str">
        <x:v>1000 × 2050</x:v>
      </x:c>
    </x:row>
    <x:row r="6">
      <x:c r="A6" s="54" t="str">
        <x:v>PA6 PŁYTA CZARNA</x:v>
      </x:c>
      <x:c r="B6" s="54" t="n">
        <x:v>3</x:v>
      </x:c>
      <x:c r="C6" s="54" t="str">
        <x:v>1500 × 2050</x:v>
      </x:c>
      <x:c r="D6" s="57" t="n">
        <x:v>18</x:v>
      </x:c>
      <x:c r="F6" t="str">
        <x:v>PE1000 PŁYTA CZARNA</x:v>
      </x:c>
      <x:c r="G6" t="n">
        <x:v>5</x:v>
      </x:c>
      <x:c r="H6" t="str">
        <x:v>1500 × 2050</x:v>
      </x:c>
    </x:row>
    <x:row r="7">
      <x:c r="A7" s="54" t="str">
        <x:v>PA6 PŁYTA CZARNA</x:v>
      </x:c>
      <x:c r="B7" s="54" t="n">
        <x:v>4</x:v>
      </x:c>
      <x:c r="C7" s="54" t="str">
        <x:v>1000 × 1000</x:v>
      </x:c>
      <x:c r="D7" s="57" t="n">
        <x:v>6</x:v>
      </x:c>
      <x:c r="F7" t="str">
        <x:v>PE1000 PŁYTA NATURALNA</x:v>
      </x:c>
      <x:c r="G7" t="n">
        <x:v>6</x:v>
      </x:c>
    </x:row>
    <x:row r="8">
      <x:c r="A8" s="54" t="str">
        <x:v>PA6 PŁYTA CZARNA</x:v>
      </x:c>
      <x:c r="B8" s="54" t="n">
        <x:v>5</x:v>
      </x:c>
      <x:c r="C8" s="54" t="str">
        <x:v>1000 × 1000</x:v>
      </x:c>
      <x:c r="D8" s="57" t="n">
        <x:v>8</x:v>
      </x:c>
      <x:c r="F8" t="str">
        <x:v>PE500 PŁYTA CZARNA</x:v>
      </x:c>
      <x:c r="G8" t="n">
        <x:v>8</x:v>
      </x:c>
    </x:row>
    <x:row r="9">
      <x:c r="A9" s="54" t="str">
        <x:v>PA6 PŁYTA CZARNA</x:v>
      </x:c>
      <x:c r="B9" s="54" t="n">
        <x:v>8</x:v>
      </x:c>
      <x:c r="C9" s="54" t="str">
        <x:v>1000 × 1000</x:v>
      </x:c>
      <x:c r="D9" s="57" t="n">
        <x:v>10</x:v>
      </x:c>
      <x:c r="F9" t="str">
        <x:v>PE500 PŁYTA NATURALNA</x:v>
      </x:c>
      <x:c r="G9" t="n">
        <x:v>10</x:v>
      </x:c>
    </x:row>
    <x:row r="10">
      <x:c r="A10" s="54" t="str">
        <x:v>PA6 PŁYTA CZARNA</x:v>
      </x:c>
      <x:c r="B10" s="54" t="n">
        <x:v>10</x:v>
      </x:c>
      <x:c r="C10" s="54" t="str">
        <x:v>1000 × 1000</x:v>
      </x:c>
      <x:c r="D10" s="57" t="n">
        <x:v>12</x:v>
      </x:c>
      <x:c r="F10" t="str">
        <x:v>PEEK PŁYTA CZARNA</x:v>
      </x:c>
      <x:c r="G10" t="n">
        <x:v>12</x:v>
      </x:c>
    </x:row>
    <x:row r="11">
      <x:c r="A11" s="54" t="str">
        <x:v>PA6 PŁYTA CZARNA</x:v>
      </x:c>
      <x:c r="B11" s="54" t="n">
        <x:v>12</x:v>
      </x:c>
      <x:c r="C11" s="54" t="str">
        <x:v>1000 × 1000</x:v>
      </x:c>
      <x:c r="D11" s="57" t="n">
        <x:v>14</x:v>
      </x:c>
      <x:c r="F11" t="str">
        <x:v>PEEK PŁYTA NATURALNA</x:v>
      </x:c>
    </x:row>
    <x:row r="12">
      <x:c r="A12" s="54" t="str">
        <x:v>PA6 PŁYTA NATURALNA</x:v>
      </x:c>
      <x:c r="B12" s="54" t="n">
        <x:v>1</x:v>
      </x:c>
      <x:c r="C12" s="54" t="str">
        <x:v>1000 × 1000</x:v>
      </x:c>
      <x:c r="D12" s="57" t="n">
        <x:v>1</x:v>
      </x:c>
      <x:c r="F12" t="str">
        <x:v>POM C PŁYTA CZARNA</x:v>
      </x:c>
    </x:row>
    <x:row r="13">
      <x:c r="A13" s="54" t="str">
        <x:v>PA6 PŁYTA NATURALNA</x:v>
      </x:c>
      <x:c r="B13" s="54" t="n">
        <x:v>1</x:v>
      </x:c>
      <x:c r="C13" s="54" t="str">
        <x:v>1000 × 1050</x:v>
      </x:c>
      <x:c r="D13" s="57" t="n">
        <x:v>15</x:v>
      </x:c>
      <x:c r="F13" t="str">
        <x:v>POM C PŁYTA NATURALNA</x:v>
      </x:c>
    </x:row>
    <x:row r="14">
      <x:c r="A14" s="54" t="str">
        <x:v>PA6 PŁYTA NATURALNA</x:v>
      </x:c>
      <x:c r="B14" s="54" t="n">
        <x:v>2</x:v>
      </x:c>
      <x:c r="C14" s="54" t="str">
        <x:v>1000 × 1000</x:v>
      </x:c>
      <x:c r="D14" s="57" t="n">
        <x:v>3</x:v>
      </x:c>
      <x:c r="F14" t="str">
        <x:v>PP PŁYTA CZARNA</x:v>
      </x:c>
    </x:row>
    <x:row r="15">
      <x:c r="A15" s="54" t="str">
        <x:v>PA6 PŁYTA NATURALNA</x:v>
      </x:c>
      <x:c r="B15" s="54" t="n">
        <x:v>3</x:v>
      </x:c>
      <x:c r="C15" s="54" t="str">
        <x:v>1000 × 1000</x:v>
      </x:c>
      <x:c r="D15" s="57" t="n">
        <x:v>4</x:v>
      </x:c>
      <x:c r="F15" t="str">
        <x:v>PP PŁYTA NATURALNA</x:v>
      </x:c>
    </x:row>
    <x:row r="16">
      <x:c r="A16" s="54" t="str">
        <x:v>PA6 PŁYTA NATURALNA</x:v>
      </x:c>
      <x:c r="B16" s="54" t="n">
        <x:v>5</x:v>
      </x:c>
      <x:c r="C16" s="54" t="str">
        <x:v>1000 × 1000</x:v>
      </x:c>
      <x:c r="D16" s="57" t="n">
        <x:v>7</x:v>
      </x:c>
      <x:c r="F16" t="str">
        <x:v>PTFE PŁYTA CZARNA</x:v>
      </x:c>
    </x:row>
    <x:row r="17">
      <x:c r="A17" s="54" t="str">
        <x:v>PA6 PŁYTA NATURALNA</x:v>
      </x:c>
      <x:c r="B17" s="54" t="n">
        <x:v>6</x:v>
      </x:c>
      <x:c r="C17" s="54" t="str">
        <x:v>1000 × 1000</x:v>
      </x:c>
      <x:c r="D17" s="57" t="n">
        <x:v>9</x:v>
      </x:c>
      <x:c r="F17" t="str">
        <x:v>PTFE PŁYTA NATURALNA</x:v>
      </x:c>
    </x:row>
    <x:row r="18">
      <x:c r="A18" s="54" t="str">
        <x:v>PA6 PŁYTA NATURALNA</x:v>
      </x:c>
      <x:c r="B18" s="54" t="n">
        <x:v>10</x:v>
      </x:c>
      <x:c r="C18" s="54" t="str">
        <x:v>1000 × 1000</x:v>
      </x:c>
      <x:c r="D18" s="57" t="n">
        <x:v>11</x:v>
      </x:c>
      <x:c r="F18" t="str">
        <x:v>PVC PŁYTA CZARNA</x:v>
      </x:c>
    </x:row>
    <x:row r="19">
      <x:c r="A19" s="54" t="str">
        <x:v>PA6G PŁYTA CZARNA</x:v>
      </x:c>
      <x:c r="B19" s="54" t="n">
        <x:v>1</x:v>
      </x:c>
      <x:c r="C19" s="54" t="str">
        <x:v>1000 × 1000</x:v>
      </x:c>
      <x:c r="D19" s="57" t="n">
        <x:v>2</x:v>
      </x:c>
      <x:c r="F19" t="str">
        <x:v>PVC PŁYTA NATURALNA</x:v>
      </x:c>
    </x:row>
    <x:row r="20">
      <x:c r="A20" s="54" t="str">
        <x:v>PA6G PŁYTA CZARNA</x:v>
      </x:c>
      <x:c r="B20" s="54" t="n">
        <x:v>1</x:v>
      </x:c>
      <x:c r="C20" s="54" t="str">
        <x:v>1000 × 2000</x:v>
      </x:c>
      <x:c r="D20" s="57" t="n">
        <x:v>16</x:v>
      </x:c>
      <x:c r="F20" t="str">
        <x:v>Tekstolit PŁYTA CZARNA</x:v>
      </x:c>
    </x:row>
    <x:row r="21">
      <x:c r="A21" s="54" t="str">
        <x:v>PA6G PŁYTA CZARNA</x:v>
      </x:c>
      <x:c r="B21" s="54" t="n">
        <x:v>2</x:v>
      </x:c>
      <x:c r="C21" s="54" t="str">
        <x:v>1000 × 2050</x:v>
      </x:c>
      <x:c r="D21" s="57" t="n">
        <x:v>17</x:v>
      </x:c>
      <x:c r="F21" t="str">
        <x:v>Tekstolit PŁYTA NATURALNA</x:v>
      </x:c>
    </x:row>
    <x:row r="22">
      <x:c r="A22" s="54" t="str">
        <x:v>PA6G PŁYTA CZARNA</x:v>
      </x:c>
      <x:c r="B22" s="54" t="n">
        <x:v>3</x:v>
      </x:c>
      <x:c r="C22" s="54" t="str">
        <x:v>1000 × 1000</x:v>
      </x:c>
      <x:c r="D22" s="57" t="n">
        <x:v>5</x:v>
      </x:c>
    </x:row>
    <x:row r="23">
      <x:c r="A23" s="54" t="str">
        <x:v>PA6G PŁYTA CZARNA</x:v>
      </x:c>
      <x:c r="B23" s="54" t="n">
        <x:v>3</x:v>
      </x:c>
      <x:c r="C23" s="54" t="str">
        <x:v>1500 × 2050</x:v>
      </x:c>
      <x:c r="D23" s="57" t="n">
        <x:v>18</x:v>
      </x:c>
    </x:row>
    <x:row r="24">
      <x:c r="A24" s="54" t="str">
        <x:v>PA6G PŁYTA CZARNA</x:v>
      </x:c>
      <x:c r="B24" s="54" t="n">
        <x:v>4</x:v>
      </x:c>
      <x:c r="C24" s="54" t="str">
        <x:v>1000 × 1000</x:v>
      </x:c>
      <x:c r="D24" s="57" t="n">
        <x:v>6</x:v>
      </x:c>
    </x:row>
    <x:row r="25">
      <x:c r="A25" s="54" t="str">
        <x:v>PA6G PŁYTA CZARNA</x:v>
      </x:c>
      <x:c r="B25" s="54" t="n">
        <x:v>5</x:v>
      </x:c>
      <x:c r="C25" s="54" t="str">
        <x:v>1000 × 1000</x:v>
      </x:c>
      <x:c r="D25" s="57" t="n">
        <x:v>8</x:v>
      </x:c>
    </x:row>
    <x:row r="26">
      <x:c r="A26" s="54" t="str">
        <x:v>PA6G PŁYTA CZARNA</x:v>
      </x:c>
      <x:c r="B26" s="54" t="n">
        <x:v>8</x:v>
      </x:c>
      <x:c r="C26" s="54" t="str">
        <x:v>1000 × 1000</x:v>
      </x:c>
      <x:c r="D26" s="57" t="n">
        <x:v>10</x:v>
      </x:c>
    </x:row>
    <x:row r="27">
      <x:c r="A27" s="54" t="str">
        <x:v>PA6G PŁYTA CZARNA</x:v>
      </x:c>
      <x:c r="B27" s="54" t="n">
        <x:v>10</x:v>
      </x:c>
      <x:c r="C27" s="54" t="str">
        <x:v>1000 × 1000</x:v>
      </x:c>
      <x:c r="D27" s="57" t="n">
        <x:v>12</x:v>
      </x:c>
    </x:row>
    <x:row r="28">
      <x:c r="A28" s="54" t="str">
        <x:v>PA6G PŁYTA CZARNA</x:v>
      </x:c>
      <x:c r="B28" s="54" t="n">
        <x:v>12</x:v>
      </x:c>
      <x:c r="C28" s="54" t="str">
        <x:v>1000 × 1000</x:v>
      </x:c>
      <x:c r="D28" s="57" t="n">
        <x:v>14</x:v>
      </x:c>
    </x:row>
    <x:row r="29">
      <x:c r="A29" s="54" t="str">
        <x:v>PA6G PŁYTA NATURALNA</x:v>
      </x:c>
      <x:c r="B29" s="54" t="n">
        <x:v>1</x:v>
      </x:c>
      <x:c r="C29" s="54" t="str">
        <x:v>1000 × 1000</x:v>
      </x:c>
      <x:c r="D29" s="57" t="n">
        <x:v>1</x:v>
      </x:c>
    </x:row>
    <x:row r="30">
      <x:c r="A30" s="54" t="str">
        <x:v>PA6G PŁYTA NATURALNA</x:v>
      </x:c>
      <x:c r="B30" s="54" t="n">
        <x:v>1</x:v>
      </x:c>
      <x:c r="C30" s="54" t="str">
        <x:v>1000 × 1050</x:v>
      </x:c>
      <x:c r="D30" s="57" t="n">
        <x:v>15</x:v>
      </x:c>
    </x:row>
    <x:row r="31">
      <x:c r="A31" s="54" t="str">
        <x:v>PA6G PŁYTA NATURALNA</x:v>
      </x:c>
      <x:c r="B31" s="54" t="n">
        <x:v>2</x:v>
      </x:c>
      <x:c r="C31" s="54" t="str">
        <x:v>1000 × 1000</x:v>
      </x:c>
      <x:c r="D31" s="57" t="n">
        <x:v>3</x:v>
      </x:c>
    </x:row>
    <x:row r="32">
      <x:c r="A32" s="54" t="str">
        <x:v>PA6G PŁYTA NATURALNA</x:v>
      </x:c>
      <x:c r="B32" s="54" t="n">
        <x:v>3</x:v>
      </x:c>
      <x:c r="C32" s="54" t="str">
        <x:v>1000 × 1000</x:v>
      </x:c>
      <x:c r="D32" s="57" t="n">
        <x:v>4</x:v>
      </x:c>
    </x:row>
    <x:row r="33">
      <x:c r="A33" s="54" t="str">
        <x:v>PA6G PŁYTA NATURALNA</x:v>
      </x:c>
      <x:c r="B33" s="54" t="n">
        <x:v>5</x:v>
      </x:c>
      <x:c r="C33" s="54" t="str">
        <x:v>1000 × 1000</x:v>
      </x:c>
      <x:c r="D33" s="57" t="n">
        <x:v>7</x:v>
      </x:c>
    </x:row>
    <x:row r="34">
      <x:c r="A34" s="54" t="str">
        <x:v>PA6G PŁYTA NATURALNA</x:v>
      </x:c>
      <x:c r="B34" s="54" t="n">
        <x:v>6</x:v>
      </x:c>
      <x:c r="C34" s="54" t="str">
        <x:v>1000 × 1000</x:v>
      </x:c>
      <x:c r="D34" s="57" t="n">
        <x:v>9</x:v>
      </x:c>
    </x:row>
    <x:row r="35">
      <x:c r="A35" s="54" t="str">
        <x:v>PA6G PŁYTA NATURALNA</x:v>
      </x:c>
      <x:c r="B35" s="54" t="n">
        <x:v>10</x:v>
      </x:c>
      <x:c r="C35" s="54" t="str">
        <x:v>1000 × 1000</x:v>
      </x:c>
      <x:c r="D35" s="57" t="n">
        <x:v>11</x:v>
      </x:c>
    </x:row>
    <x:row r="36">
      <x:c r="A36" s="54" t="str">
        <x:v>PE1000 PŁYTA CZARNA</x:v>
      </x:c>
      <x:c r="B36" s="54" t="n">
        <x:v>1</x:v>
      </x:c>
      <x:c r="C36" s="54" t="str">
        <x:v>1000 × 1000</x:v>
      </x:c>
      <x:c r="D36" s="57" t="n">
        <x:v>2</x:v>
      </x:c>
    </x:row>
    <x:row r="37">
      <x:c r="A37" s="54" t="str">
        <x:v>PE1000 PŁYTA CZARNA</x:v>
      </x:c>
      <x:c r="B37" s="54" t="n">
        <x:v>1</x:v>
      </x:c>
      <x:c r="C37" s="54" t="str">
        <x:v>1000 × 2000</x:v>
      </x:c>
      <x:c r="D37" s="57" t="n">
        <x:v>16</x:v>
      </x:c>
    </x:row>
    <x:row r="38">
      <x:c r="A38" s="54" t="str">
        <x:v>PE1000 PŁYTA CZARNA</x:v>
      </x:c>
      <x:c r="B38" s="54" t="n">
        <x:v>2</x:v>
      </x:c>
      <x:c r="C38" s="54" t="str">
        <x:v>1000 × 2050</x:v>
      </x:c>
      <x:c r="D38" s="57" t="n">
        <x:v>17</x:v>
      </x:c>
    </x:row>
    <x:row r="39">
      <x:c r="A39" s="54" t="str">
        <x:v>PE1000 PŁYTA CZARNA</x:v>
      </x:c>
      <x:c r="B39" s="54" t="n">
        <x:v>3</x:v>
      </x:c>
      <x:c r="C39" s="54" t="str">
        <x:v>1000 × 1000</x:v>
      </x:c>
      <x:c r="D39" s="57" t="n">
        <x:v>5</x:v>
      </x:c>
    </x:row>
    <x:row r="40">
      <x:c r="A40" s="54" t="str">
        <x:v>PE1000 PŁYTA CZARNA</x:v>
      </x:c>
      <x:c r="B40" s="54" t="n">
        <x:v>3</x:v>
      </x:c>
      <x:c r="C40" s="54" t="str">
        <x:v>1500 × 2050</x:v>
      </x:c>
      <x:c r="D40" s="57" t="n">
        <x:v>18</x:v>
      </x:c>
    </x:row>
    <x:row r="41">
      <x:c r="A41" s="54" t="str">
        <x:v>PE1000 PŁYTA CZARNA</x:v>
      </x:c>
      <x:c r="B41" s="54" t="n">
        <x:v>4</x:v>
      </x:c>
      <x:c r="C41" s="54" t="str">
        <x:v>1000 × 1000</x:v>
      </x:c>
      <x:c r="D41" s="57" t="n">
        <x:v>6</x:v>
      </x:c>
    </x:row>
    <x:row r="42">
      <x:c r="A42" s="54" t="str">
        <x:v>PE1000 PŁYTA CZARNA</x:v>
      </x:c>
      <x:c r="B42" s="54" t="n">
        <x:v>5</x:v>
      </x:c>
      <x:c r="C42" s="54" t="str">
        <x:v>1000 × 1000</x:v>
      </x:c>
      <x:c r="D42" s="57" t="n">
        <x:v>8</x:v>
      </x:c>
    </x:row>
    <x:row r="43">
      <x:c r="A43" s="54" t="str">
        <x:v>PE1000 PŁYTA CZARNA</x:v>
      </x:c>
      <x:c r="B43" s="54" t="n">
        <x:v>8</x:v>
      </x:c>
      <x:c r="C43" s="54" t="str">
        <x:v>1000 × 1000</x:v>
      </x:c>
      <x:c r="D43" s="57" t="n">
        <x:v>10</x:v>
      </x:c>
    </x:row>
    <x:row r="44">
      <x:c r="A44" s="54" t="str">
        <x:v>PE1000 PŁYTA CZARNA</x:v>
      </x:c>
      <x:c r="B44" s="54" t="n">
        <x:v>10</x:v>
      </x:c>
      <x:c r="C44" s="54" t="str">
        <x:v>1000 × 1000</x:v>
      </x:c>
      <x:c r="D44" s="57" t="n">
        <x:v>12</x:v>
      </x:c>
    </x:row>
    <x:row r="45">
      <x:c r="A45" s="54" t="str">
        <x:v>PE1000 PŁYTA CZARNA</x:v>
      </x:c>
      <x:c r="B45" s="54" t="n">
        <x:v>12</x:v>
      </x:c>
      <x:c r="C45" s="54" t="str">
        <x:v>1000 × 1000</x:v>
      </x:c>
      <x:c r="D45" s="57" t="n">
        <x:v>14</x:v>
      </x:c>
    </x:row>
    <x:row r="46">
      <x:c r="A46" s="54" t="str">
        <x:v>PE1000 PŁYTA NATURALNA</x:v>
      </x:c>
      <x:c r="B46" s="54" t="n">
        <x:v>1</x:v>
      </x:c>
      <x:c r="C46" s="54" t="str">
        <x:v>1000 × 1000</x:v>
      </x:c>
      <x:c r="D46" s="57" t="n">
        <x:v>1</x:v>
      </x:c>
    </x:row>
    <x:row r="47">
      <x:c r="A47" s="54" t="str">
        <x:v>PE1000 PŁYTA NATURALNA</x:v>
      </x:c>
      <x:c r="B47" s="54" t="n">
        <x:v>1</x:v>
      </x:c>
      <x:c r="C47" s="54" t="str">
        <x:v>1000 × 1050</x:v>
      </x:c>
      <x:c r="D47" s="57" t="n">
        <x:v>15</x:v>
      </x:c>
    </x:row>
    <x:row r="48">
      <x:c r="A48" s="54" t="str">
        <x:v>PE1000 PŁYTA NATURALNA</x:v>
      </x:c>
      <x:c r="B48" s="54" t="n">
        <x:v>2</x:v>
      </x:c>
      <x:c r="C48" s="54" t="str">
        <x:v>1000 × 1000</x:v>
      </x:c>
      <x:c r="D48" s="57" t="n">
        <x:v>3</x:v>
      </x:c>
    </x:row>
    <x:row r="49">
      <x:c r="A49" s="54" t="str">
        <x:v>PE1000 PŁYTA NATURALNA</x:v>
      </x:c>
      <x:c r="B49" s="54" t="n">
        <x:v>3</x:v>
      </x:c>
      <x:c r="C49" s="54" t="str">
        <x:v>1000 × 1000</x:v>
      </x:c>
      <x:c r="D49" s="57" t="n">
        <x:v>4</x:v>
      </x:c>
    </x:row>
    <x:row r="50">
      <x:c r="A50" s="54" t="str">
        <x:v>PE1000 PŁYTA NATURALNA</x:v>
      </x:c>
      <x:c r="B50" s="54" t="n">
        <x:v>5</x:v>
      </x:c>
      <x:c r="C50" s="54" t="str">
        <x:v>1000 × 1000</x:v>
      </x:c>
      <x:c r="D50" s="57" t="n">
        <x:v>7</x:v>
      </x:c>
    </x:row>
    <x:row r="51">
      <x:c r="A51" s="54" t="str">
        <x:v>PE1000 PŁYTA NATURALNA</x:v>
      </x:c>
      <x:c r="B51" s="54" t="n">
        <x:v>6</x:v>
      </x:c>
      <x:c r="C51" s="54" t="str">
        <x:v>1000 × 1000</x:v>
      </x:c>
      <x:c r="D51" s="57" t="n">
        <x:v>9</x:v>
      </x:c>
    </x:row>
    <x:row r="52">
      <x:c r="A52" s="54" t="str">
        <x:v>PE1000 PŁYTA NATURALNA</x:v>
      </x:c>
      <x:c r="B52" s="54" t="n">
        <x:v>10</x:v>
      </x:c>
      <x:c r="C52" s="54" t="str">
        <x:v>1000 × 1000</x:v>
      </x:c>
      <x:c r="D52" s="57" t="n">
        <x:v>11</x:v>
      </x:c>
    </x:row>
    <x:row r="53">
      <x:c r="A53" s="54" t="str">
        <x:v>PE500 PŁYTA CZARNA</x:v>
      </x:c>
      <x:c r="B53" s="54" t="n">
        <x:v>1</x:v>
      </x:c>
      <x:c r="C53" s="54" t="str">
        <x:v>1000 × 1000</x:v>
      </x:c>
      <x:c r="D53" s="57" t="n">
        <x:v>2</x:v>
      </x:c>
    </x:row>
    <x:row r="54">
      <x:c r="A54" s="54" t="str">
        <x:v>PE500 PŁYTA CZARNA</x:v>
      </x:c>
      <x:c r="B54" s="54" t="n">
        <x:v>1</x:v>
      </x:c>
      <x:c r="C54" s="54" t="str">
        <x:v>1000 × 2000</x:v>
      </x:c>
      <x:c r="D54" s="57" t="n">
        <x:v>16</x:v>
      </x:c>
    </x:row>
    <x:row r="55">
      <x:c r="A55" s="54" t="str">
        <x:v>PE500 PŁYTA CZARNA</x:v>
      </x:c>
      <x:c r="B55" s="54" t="n">
        <x:v>2</x:v>
      </x:c>
      <x:c r="C55" s="54" t="str">
        <x:v>1000 × 2050</x:v>
      </x:c>
      <x:c r="D55" s="57" t="n">
        <x:v>17</x:v>
      </x:c>
    </x:row>
    <x:row r="56">
      <x:c r="A56" s="54" t="str">
        <x:v>PE500 PŁYTA CZARNA</x:v>
      </x:c>
      <x:c r="B56" s="54" t="n">
        <x:v>3</x:v>
      </x:c>
      <x:c r="C56" s="54" t="str">
        <x:v>1000 × 1000</x:v>
      </x:c>
      <x:c r="D56" s="57" t="n">
        <x:v>5</x:v>
      </x:c>
    </x:row>
    <x:row r="57">
      <x:c r="A57" s="54" t="str">
        <x:v>PE500 PŁYTA CZARNA</x:v>
      </x:c>
      <x:c r="B57" s="54" t="n">
        <x:v>3</x:v>
      </x:c>
      <x:c r="C57" s="54" t="str">
        <x:v>1500 × 2050</x:v>
      </x:c>
      <x:c r="D57" s="57" t="n">
        <x:v>18</x:v>
      </x:c>
    </x:row>
    <x:row r="58">
      <x:c r="A58" s="54" t="str">
        <x:v>PE500 PŁYTA CZARNA</x:v>
      </x:c>
      <x:c r="B58" s="54" t="n">
        <x:v>4</x:v>
      </x:c>
      <x:c r="C58" s="54" t="str">
        <x:v>1000 × 1000</x:v>
      </x:c>
      <x:c r="D58" s="57" t="n">
        <x:v>6</x:v>
      </x:c>
    </x:row>
    <x:row r="59">
      <x:c r="A59" s="54" t="str">
        <x:v>PE500 PŁYTA CZARNA</x:v>
      </x:c>
      <x:c r="B59" s="54" t="n">
        <x:v>5</x:v>
      </x:c>
      <x:c r="C59" s="54" t="str">
        <x:v>1000 × 1000</x:v>
      </x:c>
      <x:c r="D59" s="57" t="n">
        <x:v>8</x:v>
      </x:c>
    </x:row>
    <x:row r="60">
      <x:c r="A60" s="54" t="str">
        <x:v>PE500 PŁYTA CZARNA</x:v>
      </x:c>
      <x:c r="B60" s="54" t="n">
        <x:v>8</x:v>
      </x:c>
      <x:c r="C60" s="54" t="str">
        <x:v>1000 × 1000</x:v>
      </x:c>
      <x:c r="D60" s="57" t="n">
        <x:v>10</x:v>
      </x:c>
    </x:row>
    <x:row r="61">
      <x:c r="A61" s="54" t="str">
        <x:v>PE500 PŁYTA CZARNA</x:v>
      </x:c>
      <x:c r="B61" s="54" t="n">
        <x:v>10</x:v>
      </x:c>
      <x:c r="C61" s="54" t="str">
        <x:v>1000 × 1000</x:v>
      </x:c>
      <x:c r="D61" s="57" t="n">
        <x:v>12</x:v>
      </x:c>
    </x:row>
    <x:row r="62">
      <x:c r="A62" s="54" t="str">
        <x:v>PE500 PŁYTA CZARNA</x:v>
      </x:c>
      <x:c r="B62" s="54" t="n">
        <x:v>12</x:v>
      </x:c>
      <x:c r="C62" s="54" t="str">
        <x:v>1000 × 1000</x:v>
      </x:c>
      <x:c r="D62" s="57" t="n">
        <x:v>14</x:v>
      </x:c>
    </x:row>
    <x:row r="63">
      <x:c r="A63" s="54" t="str">
        <x:v>PE500 PŁYTA NATURALNA</x:v>
      </x:c>
      <x:c r="B63" s="54" t="n">
        <x:v>1</x:v>
      </x:c>
      <x:c r="C63" s="54" t="str">
        <x:v>1000 × 1000</x:v>
      </x:c>
      <x:c r="D63" s="57" t="n">
        <x:v>1</x:v>
      </x:c>
    </x:row>
    <x:row r="64">
      <x:c r="A64" s="54" t="str">
        <x:v>PE500 PŁYTA NATURALNA</x:v>
      </x:c>
      <x:c r="B64" s="54" t="n">
        <x:v>1</x:v>
      </x:c>
      <x:c r="C64" s="54" t="str">
        <x:v>1000 × 1050</x:v>
      </x:c>
      <x:c r="D64" s="57" t="n">
        <x:v>15</x:v>
      </x:c>
    </x:row>
    <x:row r="65">
      <x:c r="A65" s="54" t="str">
        <x:v>PE500 PŁYTA NATURALNA</x:v>
      </x:c>
      <x:c r="B65" s="54" t="n">
        <x:v>2</x:v>
      </x:c>
      <x:c r="C65" s="54" t="str">
        <x:v>1000 × 1000</x:v>
      </x:c>
      <x:c r="D65" s="57" t="n">
        <x:v>3</x:v>
      </x:c>
    </x:row>
    <x:row r="66">
      <x:c r="A66" s="54" t="str">
        <x:v>PE500 PŁYTA NATURALNA</x:v>
      </x:c>
      <x:c r="B66" s="54" t="n">
        <x:v>3</x:v>
      </x:c>
      <x:c r="C66" s="54" t="str">
        <x:v>1000 × 1000</x:v>
      </x:c>
      <x:c r="D66" s="57" t="n">
        <x:v>4</x:v>
      </x:c>
    </x:row>
    <x:row r="67">
      <x:c r="A67" s="54" t="str">
        <x:v>PE500 PŁYTA NATURALNA</x:v>
      </x:c>
      <x:c r="B67" s="54" t="n">
        <x:v>5</x:v>
      </x:c>
      <x:c r="C67" s="54" t="str">
        <x:v>1000 × 1000</x:v>
      </x:c>
      <x:c r="D67" s="57" t="n">
        <x:v>7</x:v>
      </x:c>
    </x:row>
    <x:row r="68">
      <x:c r="A68" s="54" t="str">
        <x:v>PE500 PŁYTA NATURALNA</x:v>
      </x:c>
      <x:c r="B68" s="54" t="n">
        <x:v>6</x:v>
      </x:c>
      <x:c r="C68" s="54" t="str">
        <x:v>1000 × 1000</x:v>
      </x:c>
      <x:c r="D68" s="57" t="n">
        <x:v>9</x:v>
      </x:c>
    </x:row>
    <x:row r="69">
      <x:c r="A69" s="54" t="str">
        <x:v>PE500 PŁYTA NATURALNA</x:v>
      </x:c>
      <x:c r="B69" s="54" t="n">
        <x:v>10</x:v>
      </x:c>
      <x:c r="C69" s="54" t="str">
        <x:v>1000 × 1000</x:v>
      </x:c>
      <x:c r="D69" s="57" t="n">
        <x:v>11</x:v>
      </x:c>
    </x:row>
    <x:row r="70">
      <x:c r="A70" s="54" t="str">
        <x:v>PEEK PŁYTA CZARNA</x:v>
      </x:c>
      <x:c r="B70" s="54" t="n">
        <x:v>1</x:v>
      </x:c>
      <x:c r="C70" s="54" t="str">
        <x:v>1000 × 1000</x:v>
      </x:c>
      <x:c r="D70" s="57" t="n">
        <x:v>2</x:v>
      </x:c>
    </x:row>
    <x:row r="71">
      <x:c r="A71" s="54" t="str">
        <x:v>PEEK PŁYTA CZARNA</x:v>
      </x:c>
      <x:c r="B71" s="54" t="n">
        <x:v>1</x:v>
      </x:c>
      <x:c r="C71" s="54" t="str">
        <x:v>1000 × 2000</x:v>
      </x:c>
      <x:c r="D71" s="57" t="n">
        <x:v>16</x:v>
      </x:c>
    </x:row>
    <x:row r="72">
      <x:c r="A72" s="54" t="str">
        <x:v>PEEK PŁYTA CZARNA</x:v>
      </x:c>
      <x:c r="B72" s="54" t="n">
        <x:v>2</x:v>
      </x:c>
      <x:c r="C72" s="54" t="str">
        <x:v>1000 × 2050</x:v>
      </x:c>
      <x:c r="D72" s="57" t="n">
        <x:v>17</x:v>
      </x:c>
    </x:row>
    <x:row r="73">
      <x:c r="A73" s="54" t="str">
        <x:v>PEEK PŁYTA CZARNA</x:v>
      </x:c>
      <x:c r="B73" s="54" t="n">
        <x:v>3</x:v>
      </x:c>
      <x:c r="C73" s="54" t="str">
        <x:v>1000 × 1000</x:v>
      </x:c>
      <x:c r="D73" s="57" t="n">
        <x:v>5</x:v>
      </x:c>
    </x:row>
    <x:row r="74">
      <x:c r="A74" s="54" t="str">
        <x:v>PEEK PŁYTA CZARNA</x:v>
      </x:c>
      <x:c r="B74" s="54" t="n">
        <x:v>3</x:v>
      </x:c>
      <x:c r="C74" s="54" t="str">
        <x:v>1500 × 2050</x:v>
      </x:c>
      <x:c r="D74" s="57" t="n">
        <x:v>18</x:v>
      </x:c>
    </x:row>
    <x:row r="75">
      <x:c r="A75" s="54" t="str">
        <x:v>PEEK PŁYTA CZARNA</x:v>
      </x:c>
      <x:c r="B75" s="54" t="n">
        <x:v>4</x:v>
      </x:c>
      <x:c r="C75" s="54" t="str">
        <x:v>1000 × 1000</x:v>
      </x:c>
      <x:c r="D75" s="57" t="n">
        <x:v>6</x:v>
      </x:c>
    </x:row>
    <x:row r="76">
      <x:c r="A76" s="54" t="str">
        <x:v>PEEK PŁYTA CZARNA</x:v>
      </x:c>
      <x:c r="B76" s="54" t="n">
        <x:v>5</x:v>
      </x:c>
      <x:c r="C76" s="54" t="str">
        <x:v>1000 × 1000</x:v>
      </x:c>
      <x:c r="D76" s="57" t="n">
        <x:v>8</x:v>
      </x:c>
    </x:row>
    <x:row r="77">
      <x:c r="A77" s="54" t="str">
        <x:v>PEEK PŁYTA CZARNA</x:v>
      </x:c>
      <x:c r="B77" s="54" t="n">
        <x:v>8</x:v>
      </x:c>
      <x:c r="C77" s="54" t="str">
        <x:v>1000 × 1000</x:v>
      </x:c>
      <x:c r="D77" s="57" t="n">
        <x:v>10</x:v>
      </x:c>
    </x:row>
    <x:row r="78">
      <x:c r="A78" s="54" t="str">
        <x:v>PEEK PŁYTA CZARNA</x:v>
      </x:c>
      <x:c r="B78" s="54" t="n">
        <x:v>10</x:v>
      </x:c>
      <x:c r="C78" s="54" t="str">
        <x:v>1000 × 1000</x:v>
      </x:c>
      <x:c r="D78" s="57" t="n">
        <x:v>12</x:v>
      </x:c>
    </x:row>
    <x:row r="79">
      <x:c r="A79" s="54" t="str">
        <x:v>PEEK PŁYTA CZARNA</x:v>
      </x:c>
      <x:c r="B79" s="54" t="n">
        <x:v>12</x:v>
      </x:c>
      <x:c r="C79" s="54" t="str">
        <x:v>1000 × 1000</x:v>
      </x:c>
      <x:c r="D79" s="57" t="n">
        <x:v>14</x:v>
      </x:c>
    </x:row>
    <x:row r="80">
      <x:c r="A80" s="54" t="str">
        <x:v>PEEK PŁYTA NATURALNA</x:v>
      </x:c>
      <x:c r="B80" s="54" t="n">
        <x:v>1</x:v>
      </x:c>
      <x:c r="C80" s="54" t="str">
        <x:v>1000 × 1000</x:v>
      </x:c>
      <x:c r="D80" s="57" t="n">
        <x:v>1</x:v>
      </x:c>
    </x:row>
    <x:row r="81">
      <x:c r="A81" s="54" t="str">
        <x:v>PEEK PŁYTA NATURALNA</x:v>
      </x:c>
      <x:c r="B81" s="54" t="n">
        <x:v>1</x:v>
      </x:c>
      <x:c r="C81" s="54" t="str">
        <x:v>1000 × 1050</x:v>
      </x:c>
      <x:c r="D81" s="57" t="n">
        <x:v>15</x:v>
      </x:c>
    </x:row>
    <x:row r="82">
      <x:c r="A82" s="54" t="str">
        <x:v>PEEK PŁYTA NATURALNA</x:v>
      </x:c>
      <x:c r="B82" s="54" t="n">
        <x:v>2</x:v>
      </x:c>
      <x:c r="C82" s="54" t="str">
        <x:v>1000 × 1000</x:v>
      </x:c>
      <x:c r="D82" s="57" t="n">
        <x:v>3</x:v>
      </x:c>
    </x:row>
    <x:row r="83">
      <x:c r="A83" s="54" t="str">
        <x:v>PEEK PŁYTA NATURALNA</x:v>
      </x:c>
      <x:c r="B83" s="54" t="n">
        <x:v>3</x:v>
      </x:c>
      <x:c r="C83" s="54" t="str">
        <x:v>1000 × 1000</x:v>
      </x:c>
      <x:c r="D83" s="57" t="n">
        <x:v>4</x:v>
      </x:c>
    </x:row>
    <x:row r="84">
      <x:c r="A84" s="54" t="str">
        <x:v>PEEK PŁYTA NATURALNA</x:v>
      </x:c>
      <x:c r="B84" s="54" t="n">
        <x:v>5</x:v>
      </x:c>
      <x:c r="C84" s="54" t="str">
        <x:v>1000 × 1000</x:v>
      </x:c>
      <x:c r="D84" s="57" t="n">
        <x:v>7</x:v>
      </x:c>
    </x:row>
    <x:row r="85">
      <x:c r="A85" s="54" t="str">
        <x:v>PEEK PŁYTA NATURALNA</x:v>
      </x:c>
      <x:c r="B85" s="54" t="n">
        <x:v>6</x:v>
      </x:c>
      <x:c r="C85" s="54" t="str">
        <x:v>1000 × 1000</x:v>
      </x:c>
      <x:c r="D85" s="57" t="n">
        <x:v>9</x:v>
      </x:c>
    </x:row>
    <x:row r="86">
      <x:c r="A86" s="54" t="str">
        <x:v>PEEK PŁYTA NATURALNA</x:v>
      </x:c>
      <x:c r="B86" s="54" t="n">
        <x:v>10</x:v>
      </x:c>
      <x:c r="C86" s="54" t="str">
        <x:v>1000 × 1000</x:v>
      </x:c>
      <x:c r="D86" s="57" t="n">
        <x:v>11</x:v>
      </x:c>
    </x:row>
    <x:row r="87">
      <x:c r="A87" s="54" t="str">
        <x:v>POM C PŁYTA CZARNA</x:v>
      </x:c>
      <x:c r="B87" s="54" t="n">
        <x:v>1</x:v>
      </x:c>
      <x:c r="C87" s="54" t="str">
        <x:v>1000 × 1000</x:v>
      </x:c>
      <x:c r="D87" s="57" t="n">
        <x:v>2</x:v>
      </x:c>
    </x:row>
    <x:row r="88">
      <x:c r="A88" s="54" t="str">
        <x:v>POM C PŁYTA CZARNA</x:v>
      </x:c>
      <x:c r="B88" s="54" t="n">
        <x:v>1</x:v>
      </x:c>
      <x:c r="C88" s="54" t="str">
        <x:v>1000 × 2000</x:v>
      </x:c>
      <x:c r="D88" s="57" t="n">
        <x:v>16</x:v>
      </x:c>
    </x:row>
    <x:row r="89">
      <x:c r="A89" s="54" t="str">
        <x:v>POM C PŁYTA CZARNA</x:v>
      </x:c>
      <x:c r="B89" s="54" t="n">
        <x:v>2</x:v>
      </x:c>
      <x:c r="C89" s="54" t="str">
        <x:v>1000 × 2050</x:v>
      </x:c>
      <x:c r="D89" s="57" t="n">
        <x:v>17</x:v>
      </x:c>
    </x:row>
    <x:row r="90">
      <x:c r="A90" s="54" t="str">
        <x:v>POM C PŁYTA CZARNA</x:v>
      </x:c>
      <x:c r="B90" s="54" t="n">
        <x:v>3</x:v>
      </x:c>
      <x:c r="C90" s="54" t="str">
        <x:v>1000 × 1000</x:v>
      </x:c>
      <x:c r="D90" s="57" t="n">
        <x:v>5</x:v>
      </x:c>
    </x:row>
    <x:row r="91">
      <x:c r="A91" s="54" t="str">
        <x:v>POM C PŁYTA CZARNA</x:v>
      </x:c>
      <x:c r="B91" s="54" t="n">
        <x:v>3</x:v>
      </x:c>
      <x:c r="C91" s="54" t="str">
        <x:v>1500 × 2050</x:v>
      </x:c>
      <x:c r="D91" s="57" t="n">
        <x:v>18</x:v>
      </x:c>
    </x:row>
    <x:row r="92">
      <x:c r="A92" s="54" t="str">
        <x:v>POM C PŁYTA CZARNA</x:v>
      </x:c>
      <x:c r="B92" s="54" t="n">
        <x:v>4</x:v>
      </x:c>
      <x:c r="C92" s="54" t="str">
        <x:v>1000 × 1000</x:v>
      </x:c>
      <x:c r="D92" s="57" t="n">
        <x:v>6</x:v>
      </x:c>
    </x:row>
    <x:row r="93">
      <x:c r="A93" s="54" t="str">
        <x:v>POM C PŁYTA CZARNA</x:v>
      </x:c>
      <x:c r="B93" s="54" t="n">
        <x:v>5</x:v>
      </x:c>
      <x:c r="C93" s="54" t="str">
        <x:v>1000 × 1000</x:v>
      </x:c>
      <x:c r="D93" s="57" t="n">
        <x:v>8</x:v>
      </x:c>
    </x:row>
    <x:row r="94">
      <x:c r="A94" s="54" t="str">
        <x:v>POM C PŁYTA CZARNA</x:v>
      </x:c>
      <x:c r="B94" s="54" t="n">
        <x:v>8</x:v>
      </x:c>
      <x:c r="C94" s="54" t="str">
        <x:v>1000 × 1000</x:v>
      </x:c>
      <x:c r="D94" s="57" t="n">
        <x:v>10</x:v>
      </x:c>
    </x:row>
    <x:row r="95">
      <x:c r="A95" s="54" t="str">
        <x:v>POM C PŁYTA CZARNA</x:v>
      </x:c>
      <x:c r="B95" s="54" t="n">
        <x:v>10</x:v>
      </x:c>
      <x:c r="C95" s="54" t="str">
        <x:v>1000 × 1000</x:v>
      </x:c>
      <x:c r="D95" s="57" t="n">
        <x:v>12</x:v>
      </x:c>
    </x:row>
    <x:row r="96">
      <x:c r="A96" s="54" t="str">
        <x:v>POM C PŁYTA CZARNA</x:v>
      </x:c>
      <x:c r="B96" s="54" t="n">
        <x:v>12</x:v>
      </x:c>
      <x:c r="C96" s="54" t="str">
        <x:v>1000 × 1000</x:v>
      </x:c>
      <x:c r="D96" s="57" t="n">
        <x:v>14</x:v>
      </x:c>
    </x:row>
    <x:row r="97">
      <x:c r="A97" s="54" t="str">
        <x:v>POM C PŁYTA NATURALNA</x:v>
      </x:c>
      <x:c r="B97" s="54" t="n">
        <x:v>1</x:v>
      </x:c>
      <x:c r="C97" s="54" t="str">
        <x:v>1000 × 1000</x:v>
      </x:c>
      <x:c r="D97" s="57" t="n">
        <x:v>1</x:v>
      </x:c>
    </x:row>
    <x:row r="98">
      <x:c r="A98" s="54" t="str">
        <x:v>POM C PŁYTA NATURALNA</x:v>
      </x:c>
      <x:c r="B98" s="54" t="n">
        <x:v>1</x:v>
      </x:c>
      <x:c r="C98" s="54" t="str">
        <x:v>1000 × 1050</x:v>
      </x:c>
      <x:c r="D98" s="57" t="n">
        <x:v>15</x:v>
      </x:c>
    </x:row>
    <x:row r="99">
      <x:c r="A99" s="54" t="str">
        <x:v>POM C PŁYTA NATURALNA</x:v>
      </x:c>
      <x:c r="B99" s="54" t="n">
        <x:v>2</x:v>
      </x:c>
      <x:c r="C99" s="54" t="str">
        <x:v>1000 × 1000</x:v>
      </x:c>
      <x:c r="D99" s="57" t="n">
        <x:v>3</x:v>
      </x:c>
    </x:row>
    <x:row r="100">
      <x:c r="A100" s="54" t="str">
        <x:v>POM C PŁYTA NATURALNA</x:v>
      </x:c>
      <x:c r="B100" s="54" t="n">
        <x:v>3</x:v>
      </x:c>
      <x:c r="C100" s="54" t="str">
        <x:v>1000 × 1000</x:v>
      </x:c>
      <x:c r="D100" s="57" t="n">
        <x:v>4</x:v>
      </x:c>
    </x:row>
    <x:row r="101">
      <x:c r="A101" s="54" t="str">
        <x:v>POM C PŁYTA NATURALNA</x:v>
      </x:c>
      <x:c r="B101" s="54" t="n">
        <x:v>5</x:v>
      </x:c>
      <x:c r="C101" s="54" t="str">
        <x:v>1000 × 1000</x:v>
      </x:c>
      <x:c r="D101" s="57" t="n">
        <x:v>7</x:v>
      </x:c>
    </x:row>
    <x:row r="102">
      <x:c r="A102" s="54" t="str">
        <x:v>POM C PŁYTA NATURALNA</x:v>
      </x:c>
      <x:c r="B102" s="54" t="n">
        <x:v>6</x:v>
      </x:c>
      <x:c r="C102" s="54" t="str">
        <x:v>1000 × 1000</x:v>
      </x:c>
      <x:c r="D102" s="57" t="n">
        <x:v>9</x:v>
      </x:c>
    </x:row>
    <x:row r="103">
      <x:c r="A103" s="54" t="str">
        <x:v>POM C PŁYTA NATURALNA</x:v>
      </x:c>
      <x:c r="B103" s="54" t="n">
        <x:v>10</x:v>
      </x:c>
      <x:c r="C103" s="54" t="str">
        <x:v>1000 × 1000</x:v>
      </x:c>
      <x:c r="D103" s="57" t="n">
        <x:v>11</x:v>
      </x:c>
    </x:row>
    <x:row r="104">
      <x:c r="A104" s="54" t="str">
        <x:v>PP PŁYTA CZARNA</x:v>
      </x:c>
      <x:c r="B104" s="54" t="n">
        <x:v>1</x:v>
      </x:c>
      <x:c r="C104" s="54" t="str">
        <x:v>1000 × 1000</x:v>
      </x:c>
      <x:c r="D104" s="57" t="n">
        <x:v>2</x:v>
      </x:c>
    </x:row>
    <x:row r="105">
      <x:c r="A105" s="54" t="str">
        <x:v>PP PŁYTA CZARNA</x:v>
      </x:c>
      <x:c r="B105" s="54" t="n">
        <x:v>1</x:v>
      </x:c>
      <x:c r="C105" s="54" t="str">
        <x:v>1000 × 2000</x:v>
      </x:c>
      <x:c r="D105" s="57" t="n">
        <x:v>16</x:v>
      </x:c>
    </x:row>
    <x:row r="106">
      <x:c r="A106" s="54" t="str">
        <x:v>PP PŁYTA CZARNA</x:v>
      </x:c>
      <x:c r="B106" s="54" t="n">
        <x:v>2</x:v>
      </x:c>
      <x:c r="C106" s="54" t="str">
        <x:v>1000 × 2050</x:v>
      </x:c>
      <x:c r="D106" s="57" t="n">
        <x:v>17</x:v>
      </x:c>
    </x:row>
    <x:row r="107">
      <x:c r="A107" s="54" t="str">
        <x:v>PP PŁYTA CZARNA</x:v>
      </x:c>
      <x:c r="B107" s="54" t="n">
        <x:v>3</x:v>
      </x:c>
      <x:c r="C107" s="54" t="str">
        <x:v>1000 × 1000</x:v>
      </x:c>
      <x:c r="D107" s="57" t="n">
        <x:v>5</x:v>
      </x:c>
    </x:row>
    <x:row r="108">
      <x:c r="A108" s="54" t="str">
        <x:v>PP PŁYTA CZARNA</x:v>
      </x:c>
      <x:c r="B108" s="54" t="n">
        <x:v>3</x:v>
      </x:c>
      <x:c r="C108" s="54" t="str">
        <x:v>1500 × 2050</x:v>
      </x:c>
      <x:c r="D108" s="57" t="n">
        <x:v>18</x:v>
      </x:c>
    </x:row>
    <x:row r="109">
      <x:c r="A109" s="54" t="str">
        <x:v>PP PŁYTA CZARNA</x:v>
      </x:c>
      <x:c r="B109" s="54" t="n">
        <x:v>4</x:v>
      </x:c>
      <x:c r="C109" s="54" t="str">
        <x:v>1000 × 1000</x:v>
      </x:c>
      <x:c r="D109" s="57" t="n">
        <x:v>6</x:v>
      </x:c>
    </x:row>
    <x:row r="110">
      <x:c r="A110" s="54" t="str">
        <x:v>PP PŁYTA CZARNA</x:v>
      </x:c>
      <x:c r="B110" s="54" t="n">
        <x:v>5</x:v>
      </x:c>
      <x:c r="C110" s="54" t="str">
        <x:v>1000 × 1000</x:v>
      </x:c>
      <x:c r="D110" s="57" t="n">
        <x:v>8</x:v>
      </x:c>
    </x:row>
    <x:row r="111">
      <x:c r="A111" s="54" t="str">
        <x:v>PP PŁYTA CZARNA</x:v>
      </x:c>
      <x:c r="B111" s="54" t="n">
        <x:v>8</x:v>
      </x:c>
      <x:c r="C111" s="54" t="str">
        <x:v>1000 × 1000</x:v>
      </x:c>
      <x:c r="D111" s="57" t="n">
        <x:v>10</x:v>
      </x:c>
    </x:row>
    <x:row r="112">
      <x:c r="A112" s="54" t="str">
        <x:v>PP PŁYTA CZARNA</x:v>
      </x:c>
      <x:c r="B112" s="54" t="n">
        <x:v>10</x:v>
      </x:c>
      <x:c r="C112" s="54" t="str">
        <x:v>1000 × 1000</x:v>
      </x:c>
      <x:c r="D112" s="57" t="n">
        <x:v>12</x:v>
      </x:c>
    </x:row>
    <x:row r="113">
      <x:c r="A113" s="54" t="str">
        <x:v>PP PŁYTA CZARNA</x:v>
      </x:c>
      <x:c r="B113" s="54" t="n">
        <x:v>12</x:v>
      </x:c>
      <x:c r="C113" s="54" t="str">
        <x:v>1000 × 1000</x:v>
      </x:c>
      <x:c r="D113" s="57" t="n">
        <x:v>14</x:v>
      </x:c>
    </x:row>
    <x:row r="114">
      <x:c r="A114" s="54" t="str">
        <x:v>PP PŁYTA NATURALNA</x:v>
      </x:c>
      <x:c r="B114" s="54" t="n">
        <x:v>1</x:v>
      </x:c>
      <x:c r="C114" s="54" t="str">
        <x:v>1000 × 1000</x:v>
      </x:c>
      <x:c r="D114" s="57" t="n">
        <x:v>1</x:v>
      </x:c>
    </x:row>
    <x:row r="115">
      <x:c r="A115" s="54" t="str">
        <x:v>PP PŁYTA NATURALNA</x:v>
      </x:c>
      <x:c r="B115" s="54" t="n">
        <x:v>1</x:v>
      </x:c>
      <x:c r="C115" s="54" t="str">
        <x:v>1000 × 1050</x:v>
      </x:c>
      <x:c r="D115" s="57" t="n">
        <x:v>15</x:v>
      </x:c>
    </x:row>
    <x:row r="116">
      <x:c r="A116" s="54" t="str">
        <x:v>PP PŁYTA NATURALNA</x:v>
      </x:c>
      <x:c r="B116" s="54" t="n">
        <x:v>2</x:v>
      </x:c>
      <x:c r="C116" s="54" t="str">
        <x:v>1000 × 1000</x:v>
      </x:c>
      <x:c r="D116" s="57" t="n">
        <x:v>3</x:v>
      </x:c>
    </x:row>
    <x:row r="117">
      <x:c r="A117" s="54" t="str">
        <x:v>PP PŁYTA NATURALNA</x:v>
      </x:c>
      <x:c r="B117" s="54" t="n">
        <x:v>3</x:v>
      </x:c>
      <x:c r="C117" s="54" t="str">
        <x:v>1000 × 1000</x:v>
      </x:c>
      <x:c r="D117" s="57" t="n">
        <x:v>4</x:v>
      </x:c>
    </x:row>
    <x:row r="118">
      <x:c r="A118" s="54" t="str">
        <x:v>PP PŁYTA NATURALNA</x:v>
      </x:c>
      <x:c r="B118" s="54" t="n">
        <x:v>5</x:v>
      </x:c>
      <x:c r="C118" s="54" t="str">
        <x:v>1000 × 1000</x:v>
      </x:c>
      <x:c r="D118" s="57" t="n">
        <x:v>7</x:v>
      </x:c>
    </x:row>
    <x:row r="119">
      <x:c r="A119" s="54" t="str">
        <x:v>PP PŁYTA NATURALNA</x:v>
      </x:c>
      <x:c r="B119" s="54" t="n">
        <x:v>6</x:v>
      </x:c>
      <x:c r="C119" s="54" t="str">
        <x:v>1000 × 1000</x:v>
      </x:c>
      <x:c r="D119" s="57" t="n">
        <x:v>9</x:v>
      </x:c>
    </x:row>
    <x:row r="120">
      <x:c r="A120" s="54" t="str">
        <x:v>PP PŁYTA NATURALNA</x:v>
      </x:c>
      <x:c r="B120" s="54" t="n">
        <x:v>10</x:v>
      </x:c>
      <x:c r="C120" s="54" t="str">
        <x:v>1000 × 1000</x:v>
      </x:c>
      <x:c r="D120" s="57" t="n">
        <x:v>11</x:v>
      </x:c>
    </x:row>
    <x:row r="121">
      <x:c r="A121" s="54" t="str">
        <x:v>PTFE PŁYTA CZARNA</x:v>
      </x:c>
      <x:c r="B121" s="54" t="n">
        <x:v>1</x:v>
      </x:c>
      <x:c r="C121" s="54" t="str">
        <x:v>1000 × 1000</x:v>
      </x:c>
      <x:c r="D121" s="57" t="n">
        <x:v>2</x:v>
      </x:c>
    </x:row>
    <x:row r="122">
      <x:c r="A122" s="54" t="str">
        <x:v>PTFE PŁYTA CZARNA</x:v>
      </x:c>
      <x:c r="B122" s="54" t="n">
        <x:v>1</x:v>
      </x:c>
      <x:c r="C122" s="54" t="str">
        <x:v>1000 × 2000</x:v>
      </x:c>
      <x:c r="D122" s="57" t="n">
        <x:v>16</x:v>
      </x:c>
    </x:row>
    <x:row r="123">
      <x:c r="A123" s="54" t="str">
        <x:v>PTFE PŁYTA CZARNA</x:v>
      </x:c>
      <x:c r="B123" s="54" t="n">
        <x:v>2</x:v>
      </x:c>
      <x:c r="C123" s="54" t="str">
        <x:v>1000 × 2050</x:v>
      </x:c>
      <x:c r="D123" s="57" t="n">
        <x:v>17</x:v>
      </x:c>
    </x:row>
    <x:row r="124">
      <x:c r="A124" s="54" t="str">
        <x:v>PTFE PŁYTA CZARNA</x:v>
      </x:c>
      <x:c r="B124" s="54" t="n">
        <x:v>3</x:v>
      </x:c>
      <x:c r="C124" s="54" t="str">
        <x:v>1000 × 1000</x:v>
      </x:c>
      <x:c r="D124" s="57" t="n">
        <x:v>5</x:v>
      </x:c>
    </x:row>
    <x:row r="125">
      <x:c r="A125" s="54" t="str">
        <x:v>PTFE PŁYTA CZARNA</x:v>
      </x:c>
      <x:c r="B125" s="54" t="n">
        <x:v>3</x:v>
      </x:c>
      <x:c r="C125" s="54" t="str">
        <x:v>1500 × 2050</x:v>
      </x:c>
      <x:c r="D125" s="57" t="n">
        <x:v>18</x:v>
      </x:c>
    </x:row>
    <x:row r="126">
      <x:c r="A126" s="54" t="str">
        <x:v>PTFE PŁYTA CZARNA</x:v>
      </x:c>
      <x:c r="B126" s="54" t="n">
        <x:v>4</x:v>
      </x:c>
      <x:c r="C126" s="54" t="str">
        <x:v>1000 × 1000</x:v>
      </x:c>
      <x:c r="D126" s="57" t="n">
        <x:v>6</x:v>
      </x:c>
    </x:row>
    <x:row r="127">
      <x:c r="A127" s="54" t="str">
        <x:v>PTFE PŁYTA CZARNA</x:v>
      </x:c>
      <x:c r="B127" s="54" t="n">
        <x:v>5</x:v>
      </x:c>
      <x:c r="C127" s="54" t="str">
        <x:v>1000 × 1000</x:v>
      </x:c>
      <x:c r="D127" s="57" t="n">
        <x:v>8</x:v>
      </x:c>
    </x:row>
    <x:row r="128">
      <x:c r="A128" s="54" t="str">
        <x:v>PTFE PŁYTA CZARNA</x:v>
      </x:c>
      <x:c r="B128" s="54" t="n">
        <x:v>8</x:v>
      </x:c>
      <x:c r="C128" s="54" t="str">
        <x:v>1000 × 1000</x:v>
      </x:c>
      <x:c r="D128" s="57" t="n">
        <x:v>10</x:v>
      </x:c>
    </x:row>
    <x:row r="129">
      <x:c r="A129" s="54" t="str">
        <x:v>PTFE PŁYTA CZARNA</x:v>
      </x:c>
      <x:c r="B129" s="54" t="n">
        <x:v>10</x:v>
      </x:c>
      <x:c r="C129" s="54" t="str">
        <x:v>1000 × 1000</x:v>
      </x:c>
      <x:c r="D129" s="57" t="n">
        <x:v>12</x:v>
      </x:c>
    </x:row>
    <x:row r="130">
      <x:c r="A130" s="54" t="str">
        <x:v>PTFE PŁYTA CZARNA</x:v>
      </x:c>
      <x:c r="B130" s="54" t="n">
        <x:v>12</x:v>
      </x:c>
      <x:c r="C130" s="54" t="str">
        <x:v>1000 × 1000</x:v>
      </x:c>
      <x:c r="D130" s="57" t="n">
        <x:v>14</x:v>
      </x:c>
    </x:row>
    <x:row r="131">
      <x:c r="A131" s="54" t="str">
        <x:v>PTFE PŁYTA NATURALNA</x:v>
      </x:c>
      <x:c r="B131" s="54" t="n">
        <x:v>1</x:v>
      </x:c>
      <x:c r="C131" s="54" t="str">
        <x:v>1000 × 1000</x:v>
      </x:c>
      <x:c r="D131" s="57" t="n">
        <x:v>1</x:v>
      </x:c>
    </x:row>
    <x:row r="132">
      <x:c r="A132" s="54" t="str">
        <x:v>PTFE PŁYTA NATURALNA</x:v>
      </x:c>
      <x:c r="B132" s="54" t="n">
        <x:v>1</x:v>
      </x:c>
      <x:c r="C132" s="54" t="str">
        <x:v>1000 × 1050</x:v>
      </x:c>
      <x:c r="D132" s="57" t="n">
        <x:v>15</x:v>
      </x:c>
    </x:row>
    <x:row r="133">
      <x:c r="A133" s="54" t="str">
        <x:v>PTFE PŁYTA NATURALNA</x:v>
      </x:c>
      <x:c r="B133" s="54" t="n">
        <x:v>2</x:v>
      </x:c>
      <x:c r="C133" s="54" t="str">
        <x:v>1000 × 1000</x:v>
      </x:c>
      <x:c r="D133" s="57" t="n">
        <x:v>3</x:v>
      </x:c>
    </x:row>
    <x:row r="134">
      <x:c r="A134" s="54" t="str">
        <x:v>PTFE PŁYTA NATURALNA</x:v>
      </x:c>
      <x:c r="B134" s="54" t="n">
        <x:v>3</x:v>
      </x:c>
      <x:c r="C134" s="54" t="str">
        <x:v>1000 × 1000</x:v>
      </x:c>
      <x:c r="D134" s="57" t="n">
        <x:v>4</x:v>
      </x:c>
    </x:row>
    <x:row r="135">
      <x:c r="A135" s="54" t="str">
        <x:v>PTFE PŁYTA NATURALNA</x:v>
      </x:c>
      <x:c r="B135" s="54" t="n">
        <x:v>5</x:v>
      </x:c>
      <x:c r="C135" s="54" t="str">
        <x:v>1000 × 1000</x:v>
      </x:c>
      <x:c r="D135" s="57" t="n">
        <x:v>7</x:v>
      </x:c>
    </x:row>
    <x:row r="136">
      <x:c r="A136" s="54" t="str">
        <x:v>PTFE PŁYTA NATURALNA</x:v>
      </x:c>
      <x:c r="B136" s="54" t="n">
        <x:v>6</x:v>
      </x:c>
      <x:c r="C136" s="54" t="str">
        <x:v>1000 × 1000</x:v>
      </x:c>
      <x:c r="D136" s="57" t="n">
        <x:v>9</x:v>
      </x:c>
    </x:row>
    <x:row r="137">
      <x:c r="A137" s="54" t="str">
        <x:v>PTFE PŁYTA NATURALNA</x:v>
      </x:c>
      <x:c r="B137" s="54" t="n">
        <x:v>10</x:v>
      </x:c>
      <x:c r="C137" s="54" t="str">
        <x:v>1000 × 1000</x:v>
      </x:c>
      <x:c r="D137" s="57" t="n">
        <x:v>11</x:v>
      </x:c>
    </x:row>
    <x:row r="138">
      <x:c r="A138" s="54" t="str">
        <x:v>PVC PŁYTA CZARNA</x:v>
      </x:c>
      <x:c r="B138" s="54" t="n">
        <x:v>1</x:v>
      </x:c>
      <x:c r="C138" s="54" t="str">
        <x:v>1000 × 1000</x:v>
      </x:c>
      <x:c r="D138" s="57" t="n">
        <x:v>2</x:v>
      </x:c>
    </x:row>
    <x:row r="139">
      <x:c r="A139" s="54" t="str">
        <x:v>PVC PŁYTA CZARNA</x:v>
      </x:c>
      <x:c r="B139" s="54" t="n">
        <x:v>1</x:v>
      </x:c>
      <x:c r="C139" s="54" t="str">
        <x:v>1000 × 2000</x:v>
      </x:c>
      <x:c r="D139" s="57" t="n">
        <x:v>16</x:v>
      </x:c>
    </x:row>
    <x:row r="140">
      <x:c r="A140" s="54" t="str">
        <x:v>PVC PŁYTA CZARNA</x:v>
      </x:c>
      <x:c r="B140" s="54" t="n">
        <x:v>2</x:v>
      </x:c>
      <x:c r="C140" s="54" t="str">
        <x:v>1000 × 2050</x:v>
      </x:c>
      <x:c r="D140" s="57" t="n">
        <x:v>17</x:v>
      </x:c>
    </x:row>
    <x:row r="141">
      <x:c r="A141" s="54" t="str">
        <x:v>PVC PŁYTA CZARNA</x:v>
      </x:c>
      <x:c r="B141" s="54" t="n">
        <x:v>3</x:v>
      </x:c>
      <x:c r="C141" s="54" t="str">
        <x:v>1000 × 1000</x:v>
      </x:c>
      <x:c r="D141" s="57" t="n">
        <x:v>5</x:v>
      </x:c>
    </x:row>
    <x:row r="142">
      <x:c r="A142" s="54" t="str">
        <x:v>PVC PŁYTA CZARNA</x:v>
      </x:c>
      <x:c r="B142" s="54" t="n">
        <x:v>3</x:v>
      </x:c>
      <x:c r="C142" s="54" t="str">
        <x:v>1500 × 2050</x:v>
      </x:c>
      <x:c r="D142" s="57" t="n">
        <x:v>18</x:v>
      </x:c>
    </x:row>
    <x:row r="143">
      <x:c r="A143" s="54" t="str">
        <x:v>PVC PŁYTA CZARNA</x:v>
      </x:c>
      <x:c r="B143" s="54" t="n">
        <x:v>4</x:v>
      </x:c>
      <x:c r="C143" s="54" t="str">
        <x:v>1000 × 1000</x:v>
      </x:c>
      <x:c r="D143" s="57" t="n">
        <x:v>6</x:v>
      </x:c>
    </x:row>
    <x:row r="144">
      <x:c r="A144" s="54" t="str">
        <x:v>PVC PŁYTA CZARNA</x:v>
      </x:c>
      <x:c r="B144" s="54" t="n">
        <x:v>5</x:v>
      </x:c>
      <x:c r="C144" s="54" t="str">
        <x:v>1000 × 1000</x:v>
      </x:c>
      <x:c r="D144" s="57" t="n">
        <x:v>8</x:v>
      </x:c>
    </x:row>
    <x:row r="145">
      <x:c r="A145" s="54" t="str">
        <x:v>PVC PŁYTA CZARNA</x:v>
      </x:c>
      <x:c r="B145" s="54" t="n">
        <x:v>8</x:v>
      </x:c>
      <x:c r="C145" s="54" t="str">
        <x:v>1000 × 1000</x:v>
      </x:c>
      <x:c r="D145" s="57" t="n">
        <x:v>10</x:v>
      </x:c>
    </x:row>
    <x:row r="146">
      <x:c r="A146" s="54" t="str">
        <x:v>PVC PŁYTA CZARNA</x:v>
      </x:c>
      <x:c r="B146" s="54" t="n">
        <x:v>10</x:v>
      </x:c>
      <x:c r="C146" s="54" t="str">
        <x:v>1000 × 1000</x:v>
      </x:c>
      <x:c r="D146" s="57" t="n">
        <x:v>12</x:v>
      </x:c>
    </x:row>
    <x:row r="147">
      <x:c r="A147" s="54" t="str">
        <x:v>PVC PŁYTA CZARNA</x:v>
      </x:c>
      <x:c r="B147" s="54" t="n">
        <x:v>12</x:v>
      </x:c>
      <x:c r="C147" s="54" t="str">
        <x:v>1000 × 1000</x:v>
      </x:c>
      <x:c r="D147" s="57" t="n">
        <x:v>14</x:v>
      </x:c>
    </x:row>
    <x:row r="148">
      <x:c r="A148" s="54" t="str">
        <x:v>PVC PŁYTA NATURALNA</x:v>
      </x:c>
      <x:c r="B148" s="54" t="n">
        <x:v>1</x:v>
      </x:c>
      <x:c r="C148" s="54" t="str">
        <x:v>1000 × 1000</x:v>
      </x:c>
      <x:c r="D148" s="57" t="n">
        <x:v>1</x:v>
      </x:c>
    </x:row>
    <x:row r="149">
      <x:c r="A149" s="54" t="str">
        <x:v>PVC PŁYTA NATURALNA</x:v>
      </x:c>
      <x:c r="B149" s="54" t="n">
        <x:v>1</x:v>
      </x:c>
      <x:c r="C149" s="54" t="str">
        <x:v>1000 × 1050</x:v>
      </x:c>
      <x:c r="D149" s="57" t="n">
        <x:v>15</x:v>
      </x:c>
    </x:row>
    <x:row r="150">
      <x:c r="A150" s="54" t="str">
        <x:v>PVC PŁYTA NATURALNA</x:v>
      </x:c>
      <x:c r="B150" s="54" t="n">
        <x:v>2</x:v>
      </x:c>
      <x:c r="C150" s="54" t="str">
        <x:v>1000 × 1000</x:v>
      </x:c>
      <x:c r="D150" s="57" t="n">
        <x:v>3</x:v>
      </x:c>
    </x:row>
    <x:row r="151">
      <x:c r="A151" s="54" t="str">
        <x:v>PVC PŁYTA NATURALNA</x:v>
      </x:c>
      <x:c r="B151" s="54" t="n">
        <x:v>3</x:v>
      </x:c>
      <x:c r="C151" s="54" t="str">
        <x:v>1000 × 1000</x:v>
      </x:c>
      <x:c r="D151" s="57" t="n">
        <x:v>4</x:v>
      </x:c>
    </x:row>
    <x:row r="152">
      <x:c r="A152" s="54" t="str">
        <x:v>PVC PŁYTA NATURALNA</x:v>
      </x:c>
      <x:c r="B152" s="54" t="n">
        <x:v>5</x:v>
      </x:c>
      <x:c r="C152" s="54" t="str">
        <x:v>1000 × 1000</x:v>
      </x:c>
      <x:c r="D152" s="57" t="n">
        <x:v>7</x:v>
      </x:c>
    </x:row>
    <x:row r="153">
      <x:c r="A153" s="54" t="str">
        <x:v>PVC PŁYTA NATURALNA</x:v>
      </x:c>
      <x:c r="B153" s="54" t="n">
        <x:v>6</x:v>
      </x:c>
      <x:c r="C153" s="54" t="str">
        <x:v>1000 × 1000</x:v>
      </x:c>
      <x:c r="D153" s="57" t="n">
        <x:v>9</x:v>
      </x:c>
    </x:row>
    <x:row r="154">
      <x:c r="A154" s="54" t="str">
        <x:v>PVC PŁYTA NATURALNA</x:v>
      </x:c>
      <x:c r="B154" s="54" t="n">
        <x:v>10</x:v>
      </x:c>
      <x:c r="C154" s="54" t="str">
        <x:v>1000 × 1000</x:v>
      </x:c>
      <x:c r="D154" s="57" t="n">
        <x:v>11</x:v>
      </x:c>
    </x:row>
    <x:row r="155">
      <x:c r="A155" s="54" t="str">
        <x:v>Tekstolit PŁYTA CZARNA</x:v>
      </x:c>
      <x:c r="B155" s="54" t="n">
        <x:v>1</x:v>
      </x:c>
      <x:c r="C155" s="54" t="str">
        <x:v>1000 × 1000</x:v>
      </x:c>
      <x:c r="D155" s="57" t="n">
        <x:v>2</x:v>
      </x:c>
    </x:row>
    <x:row r="156">
      <x:c r="A156" s="54" t="str">
        <x:v>Tekstolit PŁYTA CZARNA</x:v>
      </x:c>
      <x:c r="B156" s="54" t="n">
        <x:v>1</x:v>
      </x:c>
      <x:c r="C156" s="54" t="str">
        <x:v>1000 × 2000</x:v>
      </x:c>
      <x:c r="D156" s="57" t="n">
        <x:v>16</x:v>
      </x:c>
    </x:row>
    <x:row r="157">
      <x:c r="A157" s="54" t="str">
        <x:v>Tekstolit PŁYTA CZARNA</x:v>
      </x:c>
      <x:c r="B157" s="54" t="n">
        <x:v>2</x:v>
      </x:c>
      <x:c r="C157" s="54" t="str">
        <x:v>1000 × 2050</x:v>
      </x:c>
      <x:c r="D157" s="57" t="n">
        <x:v>17</x:v>
      </x:c>
    </x:row>
    <x:row r="158">
      <x:c r="A158" s="54" t="str">
        <x:v>Tekstolit PŁYTA CZARNA</x:v>
      </x:c>
      <x:c r="B158" s="54" t="n">
        <x:v>3</x:v>
      </x:c>
      <x:c r="C158" s="54" t="str">
        <x:v>1000 × 1000</x:v>
      </x:c>
      <x:c r="D158" s="57" t="n">
        <x:v>5</x:v>
      </x:c>
    </x:row>
    <x:row r="159">
      <x:c r="A159" s="54" t="str">
        <x:v>Tekstolit PŁYTA CZARNA</x:v>
      </x:c>
      <x:c r="B159" s="54" t="n">
        <x:v>3</x:v>
      </x:c>
      <x:c r="C159" s="54" t="str">
        <x:v>1500 × 2050</x:v>
      </x:c>
      <x:c r="D159" s="57" t="n">
        <x:v>18</x:v>
      </x:c>
    </x:row>
    <x:row r="160">
      <x:c r="A160" s="54" t="str">
        <x:v>Tekstolit PŁYTA CZARNA</x:v>
      </x:c>
      <x:c r="B160" s="54" t="n">
        <x:v>4</x:v>
      </x:c>
      <x:c r="C160" s="54" t="str">
        <x:v>1000 × 1000</x:v>
      </x:c>
      <x:c r="D160" s="57" t="n">
        <x:v>6</x:v>
      </x:c>
    </x:row>
    <x:row r="161">
      <x:c r="A161" s="54" t="str">
        <x:v>Tekstolit PŁYTA CZARNA</x:v>
      </x:c>
      <x:c r="B161" s="54" t="n">
        <x:v>5</x:v>
      </x:c>
      <x:c r="C161" s="54" t="str">
        <x:v>1000 × 1000</x:v>
      </x:c>
      <x:c r="D161" s="57" t="n">
        <x:v>8</x:v>
      </x:c>
    </x:row>
    <x:row r="162">
      <x:c r="A162" s="54" t="str">
        <x:v>Tekstolit PŁYTA CZARNA</x:v>
      </x:c>
      <x:c r="B162" s="54" t="n">
        <x:v>8</x:v>
      </x:c>
      <x:c r="C162" s="54" t="str">
        <x:v>1000 × 1000</x:v>
      </x:c>
      <x:c r="D162" s="57" t="n">
        <x:v>10</x:v>
      </x:c>
    </x:row>
    <x:row r="163">
      <x:c r="A163" s="54" t="str">
        <x:v>Tekstolit PŁYTA CZARNA</x:v>
      </x:c>
      <x:c r="B163" s="54" t="n">
        <x:v>10</x:v>
      </x:c>
      <x:c r="C163" s="54" t="str">
        <x:v>1000 × 1000</x:v>
      </x:c>
      <x:c r="D163" s="57" t="n">
        <x:v>12</x:v>
      </x:c>
    </x:row>
    <x:row r="164">
      <x:c r="A164" s="54" t="str">
        <x:v>Tekstolit PŁYTA CZARNA</x:v>
      </x:c>
      <x:c r="B164" s="54" t="n">
        <x:v>12</x:v>
      </x:c>
      <x:c r="C164" s="54" t="str">
        <x:v>1000 × 1000</x:v>
      </x:c>
      <x:c r="D164" s="57" t="n">
        <x:v>14</x:v>
      </x:c>
    </x:row>
    <x:row r="165">
      <x:c r="A165" s="54" t="str">
        <x:v>Tekstolit PŁYTA NATURALNA</x:v>
      </x:c>
      <x:c r="B165" s="54" t="n">
        <x:v>1</x:v>
      </x:c>
      <x:c r="C165" s="54" t="str">
        <x:v>1000 × 1000</x:v>
      </x:c>
      <x:c r="D165" s="57" t="n">
        <x:v>1</x:v>
      </x:c>
    </x:row>
    <x:row r="166">
      <x:c r="A166" s="54" t="str">
        <x:v>Tekstolit PŁYTA NATURALNA</x:v>
      </x:c>
      <x:c r="B166" s="54" t="n">
        <x:v>1</x:v>
      </x:c>
      <x:c r="C166" s="54" t="str">
        <x:v>1000 × 1050</x:v>
      </x:c>
      <x:c r="D166" s="57" t="n">
        <x:v>15</x:v>
      </x:c>
    </x:row>
    <x:row r="167">
      <x:c r="A167" s="54" t="str">
        <x:v>Tekstolit PŁYTA NATURALNA</x:v>
      </x:c>
      <x:c r="B167" s="54" t="n">
        <x:v>2</x:v>
      </x:c>
      <x:c r="C167" s="54" t="str">
        <x:v>1000 × 1000</x:v>
      </x:c>
      <x:c r="D167" s="57" t="n">
        <x:v>3</x:v>
      </x:c>
    </x:row>
    <x:row r="168">
      <x:c r="A168" s="54" t="str">
        <x:v>Tekstolit PŁYTA NATURALNA</x:v>
      </x:c>
      <x:c r="B168" s="54" t="n">
        <x:v>3</x:v>
      </x:c>
      <x:c r="C168" s="54" t="str">
        <x:v>1000 × 1000</x:v>
      </x:c>
      <x:c r="D168" s="57" t="n">
        <x:v>4</x:v>
      </x:c>
    </x:row>
    <x:row r="169">
      <x:c r="A169" s="54" t="str">
        <x:v>Tekstolit PŁYTA NATURALNA</x:v>
      </x:c>
      <x:c r="B169" s="54" t="n">
        <x:v>5</x:v>
      </x:c>
      <x:c r="C169" s="54" t="str">
        <x:v>1000 × 1000</x:v>
      </x:c>
      <x:c r="D169" s="57" t="n">
        <x:v>7</x:v>
      </x:c>
    </x:row>
    <x:row r="170">
      <x:c r="A170" s="54" t="str">
        <x:v>Tekstolit PŁYTA NATURALNA</x:v>
      </x:c>
      <x:c r="B170" s="54" t="n">
        <x:v>6</x:v>
      </x:c>
      <x:c r="C170" s="54" t="str">
        <x:v>1000 × 1000</x:v>
      </x:c>
      <x:c r="D170" s="57" t="n">
        <x:v>9</x:v>
      </x:c>
    </x:row>
    <x:row r="171">
      <x:c r="A171" s="55" t="str">
        <x:v>Tekstolit PŁYTA NATURALNA</x:v>
      </x:c>
      <x:c r="B171" s="55" t="n">
        <x:v>10</x:v>
      </x:c>
      <x:c r="C171" s="55" t="str">
        <x:v>1000 × 1000</x:v>
      </x:c>
      <x:c r="D171" s="58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90a0febcdeb149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3" t="str">
        <x:v>PRZYKŁAD — jeden element i jedna płyta</x:v>
      </x:c>
      <x:c r="B1" s="3" t="str">
        <x:v>PRZYKŁAD — jeden element i jedna płyta</x:v>
      </x:c>
      <x:c r="C1" s="3" t="str">
        <x:v>PRZYKŁAD — jeden element i jedna płyta</x:v>
      </x:c>
      <x:c r="D1" s="3" t="str">
        <x:v>PRZYKŁAD — jeden element i jedna płyta</x:v>
      </x:c>
      <x:c r="E1" s="3" t="str">
        <x:v>PRZYKŁAD — jeden element i jedna płyta</x:v>
      </x:c>
      <x:c r="F1" s="3" t="str">
        <x:v>PRZYKŁAD — jeden element i jedna płyta</x:v>
      </x:c>
      <x:c r="G1" s="3" t="str">
        <x:v>PRZYKŁAD — jeden element i jedna płyta</x:v>
      </x:c>
      <x:c r="H1" s="3" t="str">
        <x:v>PRZYKŁAD — jeden element i jedna płyta</x:v>
      </x:c>
      <x:c r="I1" s="3" t="str">
        <x:v>PRZYKŁAD — jeden element i jedna płyta</x:v>
      </x:c>
      <x:c r="J1" s="3" t="str">
        <x:v>PRZYKŁAD — jeden element i jedna płyta</x:v>
      </x:c>
    </x:row>
    <x:row r="3" ht="32" customHeight="1">
      <x:c r="A3" s="37" t="str">
        <x:v>Formatka</x:v>
      </x:c>
      <x:c r="B3" s="38" t="str">
        <x:v>Materiał</x:v>
      </x:c>
      <x:c r="C3" s="38" t="str">
        <x:v>Grubość</x:v>
      </x:c>
      <x:c r="D3" s="38" t="str">
        <x:v>Wysokość</x:v>
      </x:c>
      <x:c r="E3" s="38" t="str">
        <x:v>Szerokość</x:v>
      </x:c>
      <x:c r="F3" s="38" t="str">
        <x:v>Ilość</x:v>
      </x:c>
      <x:c r="G3" s="38" t="str">
        <x:v>Obrót</x:v>
      </x:c>
      <x:c r="H3" s="38" t="str">
        <x:v>Priorytet</x:v>
      </x:c>
      <x:c r="I3" s="38" t="str">
        <x:v>Etykieta</x:v>
      </x:c>
      <x:c r="J3" s="39" t="str">
        <x:v>Uwagi</x:v>
      </x:c>
    </x:row>
    <x:row r="4">
      <x:c r="A4" s="59" t="str">
        <x:v>Wpisz do Formatki</x:v>
      </x:c>
      <x:c r="B4" s="60" t="str">
        <x:v>PA6 PŁYTA CZARNA</x:v>
      </x:c>
      <x:c r="C4" s="60" t="n">
        <x:v>1</x:v>
      </x:c>
      <x:c r="D4" s="60" t="n">
        <x:v>300</x:v>
      </x:c>
      <x:c r="E4" s="60" t="n">
        <x:v>440</x:v>
      </x:c>
      <x:c r="F4" s="60" t="n">
        <x:v>12</x:v>
      </x:c>
      <x:c r="G4" s="60" t="str">
        <x:v>TAK</x:v>
      </x:c>
      <x:c r="H4" s="60" t="n">
        <x:v>0</x:v>
      </x:c>
      <x:c r="I4" s="60" t="str">
        <x:v>A</x:v>
      </x:c>
      <x:c r="J4" s="61" t="str">
        <x:v>przykład</x:v>
      </x:c>
    </x:row>
    <x:row r="5">
      <x:c r="A5" s="62" t="str">
        <x:v>Płyta</x:v>
      </x:c>
      <x:c r="B5" s="63" t="str">
        <x:v>PA6 PŁYTA CZARNA</x:v>
      </x:c>
      <x:c r="C5" s="63" t="n">
        <x:v>1</x:v>
      </x:c>
      <x:c r="D5" s="63" t="str">
        <x:v>1000 × 1000</x:v>
      </x:c>
      <x:c r="E5" s="63" t="n">
        <x:v>4</x:v>
      </x:c>
      <x:c r="F5" s="63" t="n">
        <x:v>2</x:v>
      </x:c>
      <x:c r="G5" s="63" t="str">
        <x:v>AUTO</x:v>
      </x:c>
      <x:c r="H5" s="63" t="str">
        <x:v>TAK</x:v>
      </x:c>
      <x:c r="I5" s="63" t="str"/>
      <x:c r="J5" s="64" t="str"/>
    </x:row>
  </x:sheetData>
  <x:mergeCells>
    <x:mergeCell ref="A1:J1"/>
  </x:mergeCells>
  <x:pageMargins left="0.7" right="0.7" top="0.75" bottom="0.75" header="0.3" footer="0.3"/>
</x:worksheet>
</file>